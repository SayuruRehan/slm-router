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curtin-my.sharepoint.com/personal/24071158_student_curtin_edu_au/Documents/"/>
    </mc:Choice>
  </mc:AlternateContent>
  <xr:revisionPtr revIDLastSave="0" documentId="8_{5142BE42-C58C-4A15-BAF8-D567EC76934F}" xr6:coauthVersionLast="47" xr6:coauthVersionMax="47" xr10:uidLastSave="{00000000-0000-0000-0000-000000000000}"/>
  <bookViews>
    <workbookView xWindow="0" yWindow="740" windowWidth="29400" windowHeight="18380" firstSheet="1" activeTab="1" xr2:uid="{00000000-000D-0000-FFFF-FFFF00000000}"/>
  </bookViews>
  <sheets>
    <sheet name="Dashboard" sheetId="1" r:id="rId1"/>
    <sheet name="Paper Tracker" sheetId="2" r:id="rId2"/>
    <sheet name="Reading Plan" sheetId="3" r:id="rId3"/>
    <sheet name="Lis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H7" i="1"/>
  <c r="E7" i="1"/>
  <c r="B7" i="1"/>
  <c r="H6" i="1"/>
  <c r="E6" i="1"/>
  <c r="B6" i="1"/>
  <c r="H5" i="1"/>
  <c r="E5" i="1"/>
  <c r="B5" i="1"/>
  <c r="H4" i="1"/>
  <c r="E4" i="1"/>
  <c r="B4" i="1"/>
</calcChain>
</file>

<file path=xl/sharedStrings.xml><?xml version="1.0" encoding="utf-8"?>
<sst xmlns="http://schemas.openxmlformats.org/spreadsheetml/2006/main" count="401" uniqueCount="239">
  <si>
    <t>TriRoute Literature Review Dashboard</t>
  </si>
  <si>
    <t>Metric</t>
  </si>
  <si>
    <t>Value</t>
  </si>
  <si>
    <t>Reading Status</t>
  </si>
  <si>
    <t>Count</t>
  </si>
  <si>
    <t>Priority</t>
  </si>
  <si>
    <t>Total papers</t>
  </si>
  <si>
    <t>Not Started</t>
  </si>
  <si>
    <t>Critical</t>
  </si>
  <si>
    <t>Completed</t>
  </si>
  <si>
    <t>Skimming</t>
  </si>
  <si>
    <t>High</t>
  </si>
  <si>
    <t>Currently reading</t>
  </si>
  <si>
    <t>Reading</t>
  </si>
  <si>
    <t>Medium</t>
  </si>
  <si>
    <t>Overall progress</t>
  </si>
  <si>
    <t>Low</t>
  </si>
  <si>
    <t>Revisit</t>
  </si>
  <si>
    <t>First five papers to read</t>
  </si>
  <si>
    <t>Order</t>
  </si>
  <si>
    <t>Paper</t>
  </si>
  <si>
    <t>Why first?</t>
  </si>
  <si>
    <t>FrugalGPT</t>
  </si>
  <si>
    <t>Cost-aware cascade foundation</t>
  </si>
  <si>
    <t>Hybrid LLM</t>
  </si>
  <si>
    <t>Query-only routing baseline</t>
  </si>
  <si>
    <t>AutoMix</t>
  </si>
  <si>
    <t>Closest output-aware predecessor</t>
  </si>
  <si>
    <t>RouteLLM</t>
  </si>
  <si>
    <t>Modern learned router baseline</t>
  </si>
  <si>
    <t>Unified Routing and Cascading</t>
  </si>
  <si>
    <t>Theoretical framing for the proposed router</t>
  </si>
  <si>
    <t>TriRoute Research Paper Tracker</t>
  </si>
  <si>
    <t>Track reading progress, extract evidence for the literature review, and record how each paper supports the accept–edit–regenerate research gap.</t>
  </si>
  <si>
    <t>ID</t>
  </si>
  <si>
    <t>Reading Order</t>
  </si>
  <si>
    <t>Phase</t>
  </si>
  <si>
    <t>Theme</t>
  </si>
  <si>
    <t>Paper Title</t>
  </si>
  <si>
    <t>Authors</t>
  </si>
  <si>
    <t>Year</t>
  </si>
  <si>
    <t>Venue</t>
  </si>
  <si>
    <t>Status</t>
  </si>
  <si>
    <t>Read %</t>
  </si>
  <si>
    <t>Start Date</t>
  </si>
  <si>
    <t>Completed Date</t>
  </si>
  <si>
    <t>Relevance to TriRoute</t>
  </si>
  <si>
    <t>Key Contribution</t>
  </si>
  <si>
    <t>Gap / How We Use It</t>
  </si>
  <si>
    <t>Method Type</t>
  </si>
  <si>
    <t>Use in Our Research</t>
  </si>
  <si>
    <t>Primary Link</t>
  </si>
  <si>
    <t>Secondary Link</t>
  </si>
  <si>
    <t>Code / Dataset</t>
  </si>
  <si>
    <t>Notes</t>
  </si>
  <si>
    <t>Foundations</t>
  </si>
  <si>
    <t>Cost-aware routing</t>
  </si>
  <si>
    <t>FrugalGPT: How to Use Large Language Models While Reducing Cost and Improving Performance</t>
  </si>
  <si>
    <t>Lingjiao Chen; Matei Zaharia; James Zou</t>
  </si>
  <si>
    <t>TMLR</t>
  </si>
  <si>
    <t>Introduces learned LLM cascades and cost–quality optimisation.</t>
  </si>
  <si>
    <t>Learns cascades over multiple LLMs to lower inference cost while maintaining quality.</t>
  </si>
  <si>
    <t>Foundation for cost-aware cascading; TriRoute expands the action space to accept, edit, or regenerate.</t>
  </si>
  <si>
    <t>Model cascade / cost optimisation</t>
  </si>
  <si>
    <t>Core related work and baseline concept</t>
  </si>
  <si>
    <t>https://openreview.net/forum?id=cSimKw5p6R</t>
  </si>
  <si>
    <t>https://arxiv.org/abs/2305.05176</t>
  </si>
  <si>
    <t>Pre-generation routing</t>
  </si>
  <si>
    <t>Hybrid LLM: Cost-Efficient and Quality-Aware Query Routing</t>
  </si>
  <si>
    <t>Ding et al.</t>
  </si>
  <si>
    <t>ICLR</t>
  </si>
  <si>
    <t>Strong baseline for deciding between a small and large model before generation.</t>
  </si>
  <si>
    <t>Predicts query difficulty to route requests to a weaker or stronger model.</t>
  </si>
  <si>
    <t>Shows limits of query-only routing because it cannot observe the SLM's actual output.</t>
  </si>
  <si>
    <t>Query-based learned router</t>
  </si>
  <si>
    <t>Pre-generation routing baseline</t>
  </si>
  <si>
    <t>https://proceedings.iclr.cc/paper_files/paper/2024/hash/b47d93c99fa22ac0b377578af0a1f63a-Abstract-Conference.html</t>
  </si>
  <si>
    <t>https://arxiv.org/abs/2404.14618</t>
  </si>
  <si>
    <t>Model cascading</t>
  </si>
  <si>
    <t>Large Language Model Cascades with Mixture of Thought Representations for Cost-Efficient Reasoning</t>
  </si>
  <si>
    <t>Yue et al.</t>
  </si>
  <si>
    <t>Uses weak-model answer consistency to decide escalation on reasoning tasks.</t>
  </si>
  <si>
    <t>Uses mixture-of-thought consistency as a routing signal in an LLM cascade.</t>
  </si>
  <si>
    <t>Useful self-consistency baseline; decision remains binary rather than edit versus regenerate.</t>
  </si>
  <si>
    <t>Post-generation cascade / self-consistency</t>
  </si>
  <si>
    <t>Self-consistency routing baseline</t>
  </si>
  <si>
    <t>https://proceedings.iclr.cc/paper_files/paper/2024/hash/5de11e930c1bbfda5d4fc9d2b0924032-Abstract-Conference.html</t>
  </si>
  <si>
    <t>https://arxiv.org/abs/2310.03094</t>
  </si>
  <si>
    <t>Closest prior work</t>
  </si>
  <si>
    <t>Output-aware routing</t>
  </si>
  <si>
    <t>AutoMix: Automatically Mixing Language Models</t>
  </si>
  <si>
    <t>Aggarwal et al.</t>
  </si>
  <si>
    <t>NeurIPS</t>
  </si>
  <si>
    <t>Closest conceptual predecessor: the small model answers first, then the system decides whether to escalate.</t>
  </si>
  <si>
    <t>Uses approximate correctness estimation and a POMDP policy to mix language models.</t>
  </si>
  <si>
    <t>Primary predecessor; TriRoute extends accept-or-escalate into accept, edit, or regenerate.</t>
  </si>
  <si>
    <t>Output-aware routing / POMDP</t>
  </si>
  <si>
    <t>Closest baseline and central comparison</t>
  </si>
  <si>
    <t>https://proceedings.neurips.cc/paper_files/paper/2024/hash/ecda225cb187b40ea8edc1f46b03ffda-Abstract-Conference.html</t>
  </si>
  <si>
    <t>Learned routing</t>
  </si>
  <si>
    <t>RouteLLM: Learning to Route LLMs with Preference Data</t>
  </si>
  <si>
    <t>Ong et al.</t>
  </si>
  <si>
    <t>Provides established learned-routing architectures and cross-dataset/model evaluation practices.</t>
  </si>
  <si>
    <t>Trains routers from preference data to select between weaker and stronger LLMs.</t>
  </si>
  <si>
    <t>Important learned-routing baseline; routes before seeing the SLM response.</t>
  </si>
  <si>
    <t>Preference-based learned router</t>
  </si>
  <si>
    <t>Modern routing baseline</t>
  </si>
  <si>
    <t>https://proceedings.iclr.cc/paper_files/paper/2025/hash/5503a7c69d48a2f86fc00b3dc09de686-Abstract-Conference.html</t>
  </si>
  <si>
    <t>https://arxiv.org/abs/2406.18665</t>
  </si>
  <si>
    <t>https://github.com/lm-sys/RouteLLM</t>
  </si>
  <si>
    <t>Routing theory</t>
  </si>
  <si>
    <t>A Unified Approach to Routing and Cascading for LLMs</t>
  </si>
  <si>
    <t>Dekoninck; Baader; Vechev</t>
  </si>
  <si>
    <t>ICML</t>
  </si>
  <si>
    <t>Provides a unified formulation and highlights the importance of quality estimation.</t>
  </si>
  <si>
    <t>Unifies routing and cascading under a common optimisation framework.</t>
  </si>
  <si>
    <t>Theoretical foundation for action-outcome routing and quality–cost trade-offs.</t>
  </si>
  <si>
    <t>Unified routing/cascade framework</t>
  </si>
  <si>
    <t>Theoretical framework and strong baseline</t>
  </si>
  <si>
    <t>https://proceedings.mlr.press/v267/dekoninck25a.html</t>
  </si>
  <si>
    <t>https://arxiv.org/abs/2410.10347</t>
  </si>
  <si>
    <t>Confidence and verification</t>
  </si>
  <si>
    <t>Confidence routing</t>
  </si>
  <si>
    <t>Learning to Route LLMs with Confidence Tokens</t>
  </si>
  <si>
    <t>Chuang et al.</t>
  </si>
  <si>
    <t>Shows that learned confidence representations can improve routing over basic probability signals.</t>
  </si>
  <si>
    <t>Trains models to emit specialised confidence tokens for routing and rejection.</t>
  </si>
  <si>
    <t>Motivates learned confidence features and comparison against token-probability thresholds.</t>
  </si>
  <si>
    <t>Learned confidence representation</t>
  </si>
  <si>
    <t>Confidence-routing baseline/concept</t>
  </si>
  <si>
    <t>https://proceedings.mlr.press/v267/chuang25b.html</t>
  </si>
  <si>
    <t>https://arxiv.org/abs/2410.13284</t>
  </si>
  <si>
    <t>Efficient cascading</t>
  </si>
  <si>
    <t>SATER: A Self-Aware and Token-Efficient Approach to Routing and Cascading</t>
  </si>
  <si>
    <t>Shen et al.</t>
  </si>
  <si>
    <t>EMNLP</t>
  </si>
  <si>
    <t>Directly studies strong-model usage, redundant tokens, cost, and cascade latency.</t>
  </si>
  <si>
    <t>Combines pre-generation and cascade routing with token-efficient responses.</t>
  </si>
  <si>
    <t>Key comparison for end-to-end latency and redundant SLM generation.</t>
  </si>
  <si>
    <t>Self-aware token-efficient cascade</t>
  </si>
  <si>
    <t>Efficiency and latency baseline</t>
  </si>
  <si>
    <t>https://aclanthology.org/2025.emnlp-main.531/</t>
  </si>
  <si>
    <t>https://arxiv.org/abs/2510.05164</t>
  </si>
  <si>
    <t>Tool-based correction</t>
  </si>
  <si>
    <t>CRITIC: Large Language Models Can Self-Correct with Tool-Interactive Critiquing</t>
  </si>
  <si>
    <t>Gou et al.</t>
  </si>
  <si>
    <t>Supports using external validators such as code execution instead of relying only on self-confidence.</t>
  </si>
  <si>
    <t>Uses external tools to critique and iteratively revise model outputs.</t>
  </si>
  <si>
    <t>Supports validator-assisted correction; TriRoute additionally decides whether correction is economical.</t>
  </si>
  <si>
    <t>Tool-interactive verification and correction</t>
  </si>
  <si>
    <t>Correction and validator design</t>
  </si>
  <si>
    <t>https://proceedings.iclr.cc/paper_files/paper/2024/hash/fef126561bbf9d4467dbb8d27334b8fe-Abstract-Conference.html</t>
  </si>
  <si>
    <t>https://arxiv.org/abs/2305.11738</t>
  </si>
  <si>
    <t>Self-correction limits</t>
  </si>
  <si>
    <t>Large Language Models Cannot Self-Correct Reasoning Yet</t>
  </si>
  <si>
    <t>Huang et al.</t>
  </si>
  <si>
    <t>Demonstrates that unaided self-correction may fail or damage correct reasoning.</t>
  </si>
  <si>
    <t>Empirically challenges the reliability of intrinsic self-correction without external feedback.</t>
  </si>
  <si>
    <t>Justifies independent validators and a controlled correction policy.</t>
  </si>
  <si>
    <t>Empirical self-correction evaluation</t>
  </si>
  <si>
    <t>Motivation and risk analysis</t>
  </si>
  <si>
    <t>https://openreview.net/forum?id=IkmD3fKBPQ</t>
  </si>
  <si>
    <t>https://arxiv.org/abs/2310.01798</t>
  </si>
  <si>
    <t>SLM verification</t>
  </si>
  <si>
    <t>Small Language Models Need Strong Verifiers to Self-Correct Reasoning</t>
  </si>
  <si>
    <t>Zhang et al.</t>
  </si>
  <si>
    <t>Findings of ACL</t>
  </si>
  <si>
    <t>Direct evidence that SLM correction improves with strong verification.</t>
  </si>
  <si>
    <t>Evaluates SLM self-correction and the effect of stronger verifier feedback.</t>
  </si>
  <si>
    <t>Directly supports SLM–LLM collaboration but does not optimise accept/edit/regenerate actions.</t>
  </si>
  <si>
    <t>Verifier-assisted SLM correction</t>
  </si>
  <si>
    <t>Core correction-related work</t>
  </si>
  <si>
    <t>https://aclanthology.org/2024.findings-acl.924/</t>
  </si>
  <si>
    <t>https://arxiv.org/abs/2404.17140</t>
  </si>
  <si>
    <t>Confidence estimation</t>
  </si>
  <si>
    <t>Factual Confidence of LLMs: On Reliability and Robustness of Current Estimators</t>
  </si>
  <si>
    <t>Mahaut et al.</t>
  </si>
  <si>
    <t>ACL</t>
  </si>
  <si>
    <t>Compares confidence estimators and documents instability under meaning-preserving changes.</t>
  </si>
  <si>
    <t>Evaluates factual-confidence estimators including hidden-state probes and probability-based methods.</t>
  </si>
  <si>
    <t>Supports a multi-signal, calibrated failure detector instead of one confidence score.</t>
  </si>
  <si>
    <t>Confidence estimation benchmark</t>
  </si>
  <si>
    <t>Confidence feature and calibration design</t>
  </si>
  <si>
    <t>https://aclanthology.org/2024.acl-long.250/</t>
  </si>
  <si>
    <t>https://arxiv.org/abs/2406.13415</t>
  </si>
  <si>
    <t>Datasets and evaluation</t>
  </si>
  <si>
    <t>Code benchmark</t>
  </si>
  <si>
    <t>DebugBench: Evaluating Debugging Capability of Large Language Models</t>
  </si>
  <si>
    <t>Tian et al.</t>
  </si>
  <si>
    <t>Potential code-debugging benchmark with objective execution-based validation.</t>
  </si>
  <si>
    <t>Provides a structured benchmark across bug categories and programming languages.</t>
  </si>
  <si>
    <t>Candidate dataset for measuring accept/edit/regenerate decisions on code failures.</t>
  </si>
  <si>
    <t>Benchmark dataset</t>
  </si>
  <si>
    <t>Primary code dataset</t>
  </si>
  <si>
    <t>https://aclanthology.org/2024.findings-acl.247/</t>
  </si>
  <si>
    <t>https://arxiv.org/abs/2401.04621</t>
  </si>
  <si>
    <t>https://github.com/thunlp/DebugBench</t>
  </si>
  <si>
    <t>Financial reasoning benchmark</t>
  </si>
  <si>
    <t>FinQA: A Dataset of Numerical Reasoning over Financial Data</t>
  </si>
  <si>
    <t>Chen et al.</t>
  </si>
  <si>
    <t>Primary numerical-reasoning benchmark with executable reasoning programs.</t>
  </si>
  <si>
    <t>Introduces financial QA with text, tables, answers, and annotated reasoning programs.</t>
  </si>
  <si>
    <t>Candidate dataset for objective reasoning and correction evaluation.</t>
  </si>
  <si>
    <t>Primary reasoning dataset</t>
  </si>
  <si>
    <t>https://aclanthology.org/2021.emnlp-main.300/</t>
  </si>
  <si>
    <t>https://arxiv.org/abs/2109.00122</t>
  </si>
  <si>
    <t>https://github.com/czyssrs/FinQA</t>
  </si>
  <si>
    <t>TAT-QA: A Question Answering Benchmark on a Hybrid of Tabular and Textual Content in Finance</t>
  </si>
  <si>
    <t>Zhu et al.</t>
  </si>
  <si>
    <t>ACL-IJCNLP</t>
  </si>
  <si>
    <t>Optional second financial benchmark combining table and text reasoning.</t>
  </si>
  <si>
    <t>Introduces hybrid tabular-text financial QA with multiple numerical operation types.</t>
  </si>
  <si>
    <t>Optional external/generalisation evaluation if time permits.</t>
  </si>
  <si>
    <t>Optional secondary dataset</t>
  </si>
  <si>
    <t>https://aclanthology.org/2021.acl-long.254/</t>
  </si>
  <si>
    <t>https://arxiv.org/abs/2105.07624</t>
  </si>
  <si>
    <t>https://github.com/NExTplusplus/TAT-QA</t>
  </si>
  <si>
    <t>Suggested Literature Review Reading Plan</t>
  </si>
  <si>
    <t>Sequence</t>
  </si>
  <si>
    <t>Target Week</t>
  </si>
  <si>
    <t>Reading Goal</t>
  </si>
  <si>
    <t>Evidence to Extract</t>
  </si>
  <si>
    <t>Completion</t>
  </si>
  <si>
    <t>Week 1</t>
  </si>
  <si>
    <t>Understand routing/cascading assumptions and cost-quality objectives.</t>
  </si>
  <si>
    <t>Problem definition; routing inputs; objective function; reported savings; limitations.</t>
  </si>
  <si>
    <t>Identify exact overlap, novelty boundary, baselines, and evaluation protocol.</t>
  </si>
  <si>
    <t>Action space; model architecture; training labels; baselines; generalisation tests.</t>
  </si>
  <si>
    <t>Week 2</t>
  </si>
  <si>
    <t>Extract confidence signals, verifier design, and self-correction limitations.</t>
  </si>
  <si>
    <t>Confidence measures; calibration; verifier feedback; failure cases.</t>
  </si>
  <si>
    <t>Week 3</t>
  </si>
  <si>
    <t>Confirm dataset structure, validators, metrics, and licensing/code availability.</t>
  </si>
  <si>
    <t>Task format; split sizes; objective metrics; execution/evaluation scripts.</t>
  </si>
  <si>
    <t>Include in Review</t>
  </si>
  <si>
    <t>Rating</t>
  </si>
  <si>
    <t>Yes</t>
  </si>
  <si>
    <t>Maybe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</si>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</sst>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i/>
      <sz val="11"/>
      <color rgb="FF1F1F1F"/>
      <name val="Carlito"/>
    </font>
    <font>
      <b/>
      <sz val="11"/>
      <name val="Carlito"/>
    </font>
    <font>
      <b/>
      <sz val="11"/>
      <color rgb="FF17365D"/>
      <name val="Carlito"/>
    </font>
    <font>
      <u/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15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/>
      <top style="thin">
        <color rgb="FFD9E2F3"/>
      </top>
      <bottom/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/>
      <bottom/>
      <diagonal/>
    </border>
    <border>
      <left/>
      <right style="thin">
        <color rgb="FFD9E2F3"/>
      </right>
      <top/>
      <bottom/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/>
      <top/>
      <bottom/>
      <diagonal/>
    </border>
    <border>
      <left/>
      <right style="thin">
        <color rgb="FFB4C6E7"/>
      </right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9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 vertical="top" wrapText="1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9" fontId="0" fillId="0" borderId="14" xfId="0" applyNumberFormat="1" applyBorder="1"/>
    <xf numFmtId="0" fontId="4" fillId="0" borderId="11" xfId="0" applyFont="1" applyBorder="1"/>
    <xf numFmtId="0" fontId="4" fillId="0" borderId="13" xfId="0" applyFont="1" applyBorder="1"/>
    <xf numFmtId="0" fontId="0" fillId="0" borderId="14" xfId="0" applyBorder="1"/>
    <xf numFmtId="0" fontId="1" fillId="6" borderId="1" xfId="0" applyFont="1" applyFill="1" applyBorder="1"/>
    <xf numFmtId="0" fontId="1" fillId="6" borderId="2" xfId="0" applyFont="1" applyFill="1" applyBorder="1"/>
    <xf numFmtId="0" fontId="1" fillId="6" borderId="3" xfId="0" applyFont="1" applyFill="1" applyBorder="1"/>
    <xf numFmtId="0" fontId="6" fillId="0" borderId="0" xfId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7">
    <dxf>
      <font>
        <b/>
        <color rgb="FF274E13"/>
      </font>
      <fill>
        <patternFill patternType="solid">
          <bgColor rgb="FFD9EAD3"/>
        </patternFill>
      </fill>
    </dxf>
    <dxf>
      <font>
        <color rgb="FF741B47"/>
      </font>
      <fill>
        <patternFill patternType="solid">
          <bgColor rgb="FFEAD1DC"/>
        </patternFill>
      </fill>
    </dxf>
    <dxf>
      <font>
        <color rgb="FF073763"/>
      </font>
      <fill>
        <patternFill patternType="solid">
          <bgColor rgb="FFCFE2F3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9C5700"/>
      </font>
      <fill>
        <patternFill patternType="solid">
          <bgColor rgb="FFFCE5CD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Reading Progress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Dashboard!$D$4:$D$8</c:f>
              <c:strCache>
                <c:ptCount val="5"/>
                <c:pt idx="0">
                  <c:v>Not Started</c:v>
                </c:pt>
                <c:pt idx="1">
                  <c:v>Skimming</c:v>
                </c:pt>
                <c:pt idx="2">
                  <c:v>Reading</c:v>
                </c:pt>
                <c:pt idx="3">
                  <c:v>Completed</c:v>
                </c:pt>
                <c:pt idx="4">
                  <c:v>Revisit</c:v>
                </c:pt>
              </c:strCache>
            </c:strRef>
          </c:cat>
          <c:val>
            <c:numRef>
              <c:f>Dashboard!$E$4:$E$8</c:f>
              <c:numCache>
                <c:formatCode>General</c:formatCode>
                <c:ptCount val="5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B-4143-A456-4FCBEDABA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perTrackerTable" displayName="PaperTrackerTable" ref="A4:V19">
  <tableColumns count="22">
    <tableColumn id="1" xr3:uid="{00000000-0010-0000-0000-000001000000}" name="ID"/>
    <tableColumn id="2" xr3:uid="{00000000-0010-0000-0000-000002000000}" name="Reading Order"/>
    <tableColumn id="3" xr3:uid="{00000000-0010-0000-0000-000003000000}" name="Phase"/>
    <tableColumn id="4" xr3:uid="{00000000-0010-0000-0000-000004000000}" name="Theme"/>
    <tableColumn id="5" xr3:uid="{00000000-0010-0000-0000-000005000000}" name="Paper Title"/>
    <tableColumn id="6" xr3:uid="{00000000-0010-0000-0000-000006000000}" name="Authors"/>
    <tableColumn id="7" xr3:uid="{00000000-0010-0000-0000-000007000000}" name="Year"/>
    <tableColumn id="8" xr3:uid="{00000000-0010-0000-0000-000008000000}" name="Venue"/>
    <tableColumn id="9" xr3:uid="{00000000-0010-0000-0000-000009000000}" name="Priority"/>
    <tableColumn id="10" xr3:uid="{00000000-0010-0000-0000-00000A000000}" name="Status"/>
    <tableColumn id="11" xr3:uid="{00000000-0010-0000-0000-00000B000000}" name="Read %"/>
    <tableColumn id="12" xr3:uid="{00000000-0010-0000-0000-00000C000000}" name="Start Date"/>
    <tableColumn id="13" xr3:uid="{00000000-0010-0000-0000-00000D000000}" name="Completed Date"/>
    <tableColumn id="14" xr3:uid="{00000000-0010-0000-0000-00000E000000}" name="Relevance to TriRoute"/>
    <tableColumn id="15" xr3:uid="{00000000-0010-0000-0000-00000F000000}" name="Key Contribution"/>
    <tableColumn id="16" xr3:uid="{00000000-0010-0000-0000-000010000000}" name="Gap / How We Use It"/>
    <tableColumn id="17" xr3:uid="{00000000-0010-0000-0000-000011000000}" name="Method Type"/>
    <tableColumn id="18" xr3:uid="{00000000-0010-0000-0000-000012000000}" name="Use in Our Research"/>
    <tableColumn id="19" xr3:uid="{00000000-0010-0000-0000-000013000000}" name="Primary Link"/>
    <tableColumn id="20" xr3:uid="{00000000-0010-0000-0000-000014000000}" name="Secondary Link"/>
    <tableColumn id="21" xr3:uid="{00000000-0010-0000-0000-000015000000}" name="Code / Dataset"/>
    <tableColumn id="22" xr3:uid="{00000000-0010-0000-0000-000016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adingPlanTable" displayName="ReadingPlanTable" ref="A3:H18">
  <tableColumns count="8">
    <tableColumn id="1" xr3:uid="{00000000-0010-0000-0100-000001000000}" name="Sequence"/>
    <tableColumn id="2" xr3:uid="{00000000-0010-0000-0100-000002000000}" name="Target Week"/>
    <tableColumn id="3" xr3:uid="{00000000-0010-0000-0100-000003000000}" name="Phase"/>
    <tableColumn id="4" xr3:uid="{00000000-0010-0000-0100-000004000000}" name="Paper"/>
    <tableColumn id="5" xr3:uid="{00000000-0010-0000-0100-000005000000}" name="Priority"/>
    <tableColumn id="6" xr3:uid="{00000000-0010-0000-0100-000006000000}" name="Reading Goal"/>
    <tableColumn id="7" xr3:uid="{00000000-0010-0000-0100-000007000000}" name="Evidence to Extract"/>
    <tableColumn id="8" xr3:uid="{00000000-0010-0000-0100-000008000000}" name="Comple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github.com/lm-sys/RouteLL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workbookViewId="0">
      <selection activeCell="B14" sqref="B14"/>
    </sheetView>
  </sheetViews>
  <sheetFormatPr defaultColWidth="8.875" defaultRowHeight="15"/>
  <cols>
    <col min="1" max="1" width="26" customWidth="1"/>
    <col min="2" max="2" width="34" customWidth="1"/>
    <col min="3" max="3" width="44" customWidth="1"/>
    <col min="4" max="4" width="20" customWidth="1"/>
    <col min="5" max="5" width="12" customWidth="1"/>
    <col min="7" max="7" width="15" customWidth="1"/>
    <col min="8" max="8" width="12" customWidth="1"/>
  </cols>
  <sheetData>
    <row r="1" spans="1:8" ht="42.75" customHeight="1">
      <c r="A1" s="30" t="s">
        <v>0</v>
      </c>
      <c r="B1" s="30"/>
      <c r="C1" s="30"/>
      <c r="D1" s="30"/>
      <c r="E1" s="30"/>
      <c r="F1" s="30"/>
      <c r="G1" s="30"/>
      <c r="H1" s="30"/>
    </row>
    <row r="3" spans="1:8">
      <c r="A3" s="15" t="s">
        <v>1</v>
      </c>
      <c r="B3" s="16" t="s">
        <v>2</v>
      </c>
      <c r="D3" s="15" t="s">
        <v>3</v>
      </c>
      <c r="E3" s="16" t="s">
        <v>4</v>
      </c>
      <c r="G3" s="15" t="s">
        <v>5</v>
      </c>
      <c r="H3" s="16" t="s">
        <v>4</v>
      </c>
    </row>
    <row r="4" spans="1:8">
      <c r="A4" s="21" t="s">
        <v>6</v>
      </c>
      <c r="B4" s="18">
        <f>COUNTA('Paper Tracker'!E5:E19)</f>
        <v>15</v>
      </c>
      <c r="D4" s="17" t="s">
        <v>7</v>
      </c>
      <c r="E4" s="18">
        <f>COUNTIF('Paper Tracker'!J5:J19,D4)</f>
        <v>15</v>
      </c>
      <c r="G4" s="17" t="s">
        <v>8</v>
      </c>
      <c r="H4" s="18">
        <f>COUNTIF('Paper Tracker'!I5:I19,G4)</f>
        <v>7</v>
      </c>
    </row>
    <row r="5" spans="1:8">
      <c r="A5" s="21" t="s">
        <v>9</v>
      </c>
      <c r="B5" s="18">
        <f>COUNTIF('Paper Tracker'!J5:J19,"Completed")</f>
        <v>0</v>
      </c>
      <c r="D5" s="17" t="s">
        <v>10</v>
      </c>
      <c r="E5" s="18">
        <f>COUNTIF('Paper Tracker'!J5:J19,D5)</f>
        <v>0</v>
      </c>
      <c r="G5" s="17" t="s">
        <v>11</v>
      </c>
      <c r="H5" s="18">
        <f>COUNTIF('Paper Tracker'!I5:I19,G5)</f>
        <v>7</v>
      </c>
    </row>
    <row r="6" spans="1:8">
      <c r="A6" s="21" t="s">
        <v>12</v>
      </c>
      <c r="B6" s="18">
        <f>COUNTIF('Paper Tracker'!J5:J19,"Reading")</f>
        <v>0</v>
      </c>
      <c r="D6" s="17" t="s">
        <v>13</v>
      </c>
      <c r="E6" s="18">
        <f>COUNTIF('Paper Tracker'!J5:J19,D6)</f>
        <v>0</v>
      </c>
      <c r="G6" s="17" t="s">
        <v>14</v>
      </c>
      <c r="H6" s="18">
        <f>COUNTIF('Paper Tracker'!I5:I19,G6)</f>
        <v>1</v>
      </c>
    </row>
    <row r="7" spans="1:8">
      <c r="A7" s="22" t="s">
        <v>15</v>
      </c>
      <c r="B7" s="20">
        <f>IFERROR(AVERAGE('Paper Tracker'!K5:K19),0)</f>
        <v>0</v>
      </c>
      <c r="D7" s="17" t="s">
        <v>9</v>
      </c>
      <c r="E7" s="18">
        <f>COUNTIF('Paper Tracker'!J5:J19,D7)</f>
        <v>0</v>
      </c>
      <c r="G7" s="19" t="s">
        <v>16</v>
      </c>
      <c r="H7" s="23">
        <f>COUNTIF('Paper Tracker'!I5:I19,G7)</f>
        <v>0</v>
      </c>
    </row>
    <row r="8" spans="1:8">
      <c r="D8" s="19" t="s">
        <v>17</v>
      </c>
      <c r="E8" s="23">
        <f>COUNTIF('Paper Tracker'!J5:J19,D8)</f>
        <v>0</v>
      </c>
    </row>
    <row r="10" spans="1:8">
      <c r="A10" s="31" t="s">
        <v>18</v>
      </c>
      <c r="B10" s="31"/>
      <c r="C10" s="31"/>
      <c r="D10" s="31"/>
      <c r="E10" s="31"/>
      <c r="F10" s="31"/>
      <c r="G10" s="31"/>
      <c r="H10" s="31"/>
    </row>
    <row r="11" spans="1:8">
      <c r="A11" s="24" t="s">
        <v>19</v>
      </c>
      <c r="B11" s="25" t="s">
        <v>20</v>
      </c>
      <c r="C11" s="26" t="s">
        <v>21</v>
      </c>
    </row>
    <row r="12" spans="1:8">
      <c r="A12" s="4">
        <v>1</v>
      </c>
      <c r="B12" t="s">
        <v>22</v>
      </c>
      <c r="C12" s="5" t="s">
        <v>23</v>
      </c>
    </row>
    <row r="13" spans="1:8">
      <c r="A13" s="4">
        <v>2</v>
      </c>
      <c r="B13" t="s">
        <v>24</v>
      </c>
      <c r="C13" s="5" t="s">
        <v>25</v>
      </c>
    </row>
    <row r="14" spans="1:8">
      <c r="A14" s="4">
        <v>3</v>
      </c>
      <c r="B14" t="s">
        <v>26</v>
      </c>
      <c r="C14" s="5" t="s">
        <v>27</v>
      </c>
    </row>
    <row r="15" spans="1:8">
      <c r="A15" s="4">
        <v>4</v>
      </c>
      <c r="B15" t="s">
        <v>28</v>
      </c>
      <c r="C15" s="5" t="s">
        <v>29</v>
      </c>
    </row>
    <row r="16" spans="1:8">
      <c r="A16" s="6">
        <v>5</v>
      </c>
      <c r="B16" s="7" t="s">
        <v>30</v>
      </c>
      <c r="C16" s="8" t="s">
        <v>31</v>
      </c>
    </row>
  </sheetData>
  <mergeCells count="2">
    <mergeCell ref="A1:H1"/>
    <mergeCell ref="A10:H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tabSelected="1" topLeftCell="C1" workbookViewId="0">
      <selection activeCell="K5" sqref="K5"/>
    </sheetView>
  </sheetViews>
  <sheetFormatPr defaultColWidth="8.875" defaultRowHeight="15"/>
  <cols>
    <col min="1" max="1" width="7" customWidth="1"/>
    <col min="2" max="2" width="12" customWidth="1"/>
    <col min="3" max="3" width="22" customWidth="1"/>
    <col min="4" max="4" width="24" customWidth="1"/>
    <col min="5" max="5" width="52" customWidth="1"/>
    <col min="6" max="6" width="26" customWidth="1"/>
    <col min="7" max="7" width="8" customWidth="1"/>
    <col min="8" max="8" width="16" customWidth="1"/>
    <col min="9" max="9" width="11" customWidth="1"/>
    <col min="10" max="10" width="14" customWidth="1"/>
    <col min="11" max="11" width="10" customWidth="1"/>
    <col min="12" max="12" width="13" customWidth="1"/>
    <col min="13" max="13" width="15" customWidth="1"/>
    <col min="14" max="15" width="42" customWidth="1"/>
    <col min="16" max="16" width="48" customWidth="1"/>
    <col min="17" max="17" width="30" customWidth="1"/>
    <col min="18" max="18" width="34" customWidth="1"/>
    <col min="19" max="19" width="42" customWidth="1"/>
    <col min="20" max="20" width="34" customWidth="1"/>
    <col min="21" max="21" width="38" customWidth="1"/>
    <col min="22" max="22" width="42" customWidth="1"/>
  </cols>
  <sheetData>
    <row r="1" spans="1:22" ht="42.75" customHeight="1">
      <c r="A1" s="28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ht="39.950000000000003" customHeight="1">
      <c r="A2" s="29" t="s">
        <v>33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</row>
    <row r="4" spans="1:22" ht="45.2" customHeight="1">
      <c r="A4" s="10" t="s">
        <v>34</v>
      </c>
      <c r="B4" s="10" t="s">
        <v>35</v>
      </c>
      <c r="C4" s="10" t="s">
        <v>36</v>
      </c>
      <c r="D4" s="10" t="s">
        <v>37</v>
      </c>
      <c r="E4" s="10" t="s">
        <v>38</v>
      </c>
      <c r="F4" s="10" t="s">
        <v>39</v>
      </c>
      <c r="G4" s="10" t="s">
        <v>40</v>
      </c>
      <c r="H4" s="10" t="s">
        <v>41</v>
      </c>
      <c r="I4" s="10" t="s">
        <v>5</v>
      </c>
      <c r="J4" s="10" t="s">
        <v>42</v>
      </c>
      <c r="K4" s="10" t="s">
        <v>43</v>
      </c>
      <c r="L4" s="10" t="s">
        <v>44</v>
      </c>
      <c r="M4" s="10" t="s">
        <v>45</v>
      </c>
      <c r="N4" s="10" t="s">
        <v>46</v>
      </c>
      <c r="O4" s="10" t="s">
        <v>47</v>
      </c>
      <c r="P4" s="10" t="s">
        <v>48</v>
      </c>
      <c r="Q4" s="10" t="s">
        <v>49</v>
      </c>
      <c r="R4" s="10" t="s">
        <v>50</v>
      </c>
      <c r="S4" s="10" t="s">
        <v>51</v>
      </c>
      <c r="T4" s="10" t="s">
        <v>52</v>
      </c>
      <c r="U4" s="10" t="s">
        <v>53</v>
      </c>
      <c r="V4" s="10" t="s">
        <v>54</v>
      </c>
    </row>
    <row r="5" spans="1:22" ht="82.7" customHeight="1">
      <c r="A5" s="12">
        <v>1</v>
      </c>
      <c r="B5" s="12">
        <v>1</v>
      </c>
      <c r="C5" s="12" t="s">
        <v>55</v>
      </c>
      <c r="D5" s="12" t="s">
        <v>56</v>
      </c>
      <c r="E5" s="11" t="s">
        <v>57</v>
      </c>
      <c r="F5" s="11" t="s">
        <v>58</v>
      </c>
      <c r="G5" s="12">
        <v>2023</v>
      </c>
      <c r="H5" s="12" t="s">
        <v>59</v>
      </c>
      <c r="I5" s="12" t="s">
        <v>11</v>
      </c>
      <c r="J5" s="12" t="s">
        <v>7</v>
      </c>
      <c r="K5" s="13">
        <v>0</v>
      </c>
      <c r="L5" s="14"/>
      <c r="M5" s="14"/>
      <c r="N5" s="11" t="s">
        <v>60</v>
      </c>
      <c r="O5" s="11" t="s">
        <v>61</v>
      </c>
      <c r="P5" s="11" t="s">
        <v>62</v>
      </c>
      <c r="Q5" s="11" t="s">
        <v>63</v>
      </c>
      <c r="R5" s="11" t="s">
        <v>64</v>
      </c>
      <c r="S5" s="11" t="s">
        <v>65</v>
      </c>
      <c r="T5" s="11" t="s">
        <v>66</v>
      </c>
      <c r="U5" s="11"/>
      <c r="V5" s="11"/>
    </row>
    <row r="6" spans="1:22" ht="82.7" customHeight="1">
      <c r="A6" s="12">
        <v>2</v>
      </c>
      <c r="B6" s="12">
        <v>2</v>
      </c>
      <c r="C6" s="12" t="s">
        <v>55</v>
      </c>
      <c r="D6" s="12" t="s">
        <v>67</v>
      </c>
      <c r="E6" s="11" t="s">
        <v>68</v>
      </c>
      <c r="F6" s="11" t="s">
        <v>69</v>
      </c>
      <c r="G6" s="12">
        <v>2024</v>
      </c>
      <c r="H6" s="12" t="s">
        <v>70</v>
      </c>
      <c r="I6" s="12" t="s">
        <v>11</v>
      </c>
      <c r="J6" s="12" t="s">
        <v>7</v>
      </c>
      <c r="K6" s="13">
        <v>0</v>
      </c>
      <c r="L6" s="14"/>
      <c r="M6" s="14"/>
      <c r="N6" s="11" t="s">
        <v>71</v>
      </c>
      <c r="O6" s="11" t="s">
        <v>72</v>
      </c>
      <c r="P6" s="11" t="s">
        <v>73</v>
      </c>
      <c r="Q6" s="11" t="s">
        <v>74</v>
      </c>
      <c r="R6" s="11" t="s">
        <v>75</v>
      </c>
      <c r="S6" s="11" t="s">
        <v>76</v>
      </c>
      <c r="T6" s="11" t="s">
        <v>77</v>
      </c>
      <c r="U6" s="11"/>
      <c r="V6" s="11"/>
    </row>
    <row r="7" spans="1:22" ht="82.7" customHeight="1">
      <c r="A7" s="12">
        <v>3</v>
      </c>
      <c r="B7" s="12">
        <v>3</v>
      </c>
      <c r="C7" s="12" t="s">
        <v>55</v>
      </c>
      <c r="D7" s="12" t="s">
        <v>78</v>
      </c>
      <c r="E7" s="11" t="s">
        <v>79</v>
      </c>
      <c r="F7" s="11" t="s">
        <v>80</v>
      </c>
      <c r="G7" s="12">
        <v>2024</v>
      </c>
      <c r="H7" s="12" t="s">
        <v>70</v>
      </c>
      <c r="I7" s="12" t="s">
        <v>11</v>
      </c>
      <c r="J7" s="12" t="s">
        <v>7</v>
      </c>
      <c r="K7" s="13">
        <v>0</v>
      </c>
      <c r="L7" s="14"/>
      <c r="M7" s="14"/>
      <c r="N7" s="11" t="s">
        <v>81</v>
      </c>
      <c r="O7" s="11" t="s">
        <v>82</v>
      </c>
      <c r="P7" s="11" t="s">
        <v>83</v>
      </c>
      <c r="Q7" s="11" t="s">
        <v>84</v>
      </c>
      <c r="R7" s="11" t="s">
        <v>85</v>
      </c>
      <c r="S7" s="11" t="s">
        <v>86</v>
      </c>
      <c r="T7" s="11" t="s">
        <v>87</v>
      </c>
      <c r="U7" s="11"/>
      <c r="V7" s="11"/>
    </row>
    <row r="8" spans="1:22" ht="82.7" customHeight="1">
      <c r="A8" s="12">
        <v>4</v>
      </c>
      <c r="B8" s="12">
        <v>4</v>
      </c>
      <c r="C8" s="12" t="s">
        <v>88</v>
      </c>
      <c r="D8" s="12" t="s">
        <v>89</v>
      </c>
      <c r="E8" s="11" t="s">
        <v>90</v>
      </c>
      <c r="F8" s="11" t="s">
        <v>91</v>
      </c>
      <c r="G8" s="12">
        <v>2024</v>
      </c>
      <c r="H8" s="12" t="s">
        <v>92</v>
      </c>
      <c r="I8" s="12" t="s">
        <v>8</v>
      </c>
      <c r="J8" s="12" t="s">
        <v>7</v>
      </c>
      <c r="K8" s="13">
        <v>0</v>
      </c>
      <c r="L8" s="14"/>
      <c r="M8" s="14"/>
      <c r="N8" s="11" t="s">
        <v>93</v>
      </c>
      <c r="O8" s="11" t="s">
        <v>94</v>
      </c>
      <c r="P8" s="11" t="s">
        <v>95</v>
      </c>
      <c r="Q8" s="11" t="s">
        <v>96</v>
      </c>
      <c r="R8" s="11" t="s">
        <v>97</v>
      </c>
      <c r="S8" s="11" t="s">
        <v>98</v>
      </c>
      <c r="T8" s="11"/>
      <c r="U8" s="11"/>
      <c r="V8" s="11"/>
    </row>
    <row r="9" spans="1:22" ht="82.7" customHeight="1">
      <c r="A9" s="12">
        <v>5</v>
      </c>
      <c r="B9" s="12">
        <v>5</v>
      </c>
      <c r="C9" s="12" t="s">
        <v>88</v>
      </c>
      <c r="D9" s="12" t="s">
        <v>99</v>
      </c>
      <c r="E9" s="11" t="s">
        <v>100</v>
      </c>
      <c r="F9" s="11" t="s">
        <v>101</v>
      </c>
      <c r="G9" s="12">
        <v>2025</v>
      </c>
      <c r="H9" s="12" t="s">
        <v>70</v>
      </c>
      <c r="I9" s="12" t="s">
        <v>8</v>
      </c>
      <c r="J9" s="12" t="s">
        <v>7</v>
      </c>
      <c r="K9" s="13">
        <v>0</v>
      </c>
      <c r="L9" s="14"/>
      <c r="M9" s="14"/>
      <c r="N9" s="11" t="s">
        <v>102</v>
      </c>
      <c r="O9" s="11" t="s">
        <v>103</v>
      </c>
      <c r="P9" s="11" t="s">
        <v>104</v>
      </c>
      <c r="Q9" s="11" t="s">
        <v>105</v>
      </c>
      <c r="R9" s="11" t="s">
        <v>106</v>
      </c>
      <c r="S9" s="11" t="s">
        <v>107</v>
      </c>
      <c r="T9" s="11" t="s">
        <v>108</v>
      </c>
      <c r="U9" s="27" t="s">
        <v>109</v>
      </c>
      <c r="V9" s="11"/>
    </row>
    <row r="10" spans="1:22" ht="82.7" customHeight="1">
      <c r="A10" s="12">
        <v>6</v>
      </c>
      <c r="B10" s="12">
        <v>6</v>
      </c>
      <c r="C10" s="12" t="s">
        <v>88</v>
      </c>
      <c r="D10" s="12" t="s">
        <v>110</v>
      </c>
      <c r="E10" s="11" t="s">
        <v>111</v>
      </c>
      <c r="F10" s="11" t="s">
        <v>112</v>
      </c>
      <c r="G10" s="12">
        <v>2025</v>
      </c>
      <c r="H10" s="12" t="s">
        <v>113</v>
      </c>
      <c r="I10" s="12" t="s">
        <v>8</v>
      </c>
      <c r="J10" s="12" t="s">
        <v>7</v>
      </c>
      <c r="K10" s="13">
        <v>0</v>
      </c>
      <c r="L10" s="14"/>
      <c r="M10" s="14"/>
      <c r="N10" s="11" t="s">
        <v>114</v>
      </c>
      <c r="O10" s="11" t="s">
        <v>115</v>
      </c>
      <c r="P10" s="11" t="s">
        <v>116</v>
      </c>
      <c r="Q10" s="11" t="s">
        <v>117</v>
      </c>
      <c r="R10" s="11" t="s">
        <v>118</v>
      </c>
      <c r="S10" s="11" t="s">
        <v>119</v>
      </c>
      <c r="T10" s="11" t="s">
        <v>120</v>
      </c>
      <c r="U10" s="11"/>
      <c r="V10" s="11"/>
    </row>
    <row r="11" spans="1:22" ht="82.7" customHeight="1">
      <c r="A11" s="12">
        <v>7</v>
      </c>
      <c r="B11" s="12">
        <v>7</v>
      </c>
      <c r="C11" s="12" t="s">
        <v>121</v>
      </c>
      <c r="D11" s="12" t="s">
        <v>122</v>
      </c>
      <c r="E11" s="11" t="s">
        <v>123</v>
      </c>
      <c r="F11" s="11" t="s">
        <v>124</v>
      </c>
      <c r="G11" s="12">
        <v>2025</v>
      </c>
      <c r="H11" s="12" t="s">
        <v>113</v>
      </c>
      <c r="I11" s="12" t="s">
        <v>11</v>
      </c>
      <c r="J11" s="12" t="s">
        <v>7</v>
      </c>
      <c r="K11" s="13">
        <v>0</v>
      </c>
      <c r="L11" s="14"/>
      <c r="M11" s="14"/>
      <c r="N11" s="11" t="s">
        <v>125</v>
      </c>
      <c r="O11" s="11" t="s">
        <v>126</v>
      </c>
      <c r="P11" s="11" t="s">
        <v>127</v>
      </c>
      <c r="Q11" s="11" t="s">
        <v>128</v>
      </c>
      <c r="R11" s="11" t="s">
        <v>129</v>
      </c>
      <c r="S11" s="11" t="s">
        <v>130</v>
      </c>
      <c r="T11" s="11" t="s">
        <v>131</v>
      </c>
      <c r="U11" s="11"/>
      <c r="V11" s="11"/>
    </row>
    <row r="12" spans="1:22" ht="82.7" customHeight="1">
      <c r="A12" s="12">
        <v>8</v>
      </c>
      <c r="B12" s="12">
        <v>8</v>
      </c>
      <c r="C12" s="12" t="s">
        <v>88</v>
      </c>
      <c r="D12" s="12" t="s">
        <v>132</v>
      </c>
      <c r="E12" s="11" t="s">
        <v>133</v>
      </c>
      <c r="F12" s="11" t="s">
        <v>134</v>
      </c>
      <c r="G12" s="12">
        <v>2025</v>
      </c>
      <c r="H12" s="12" t="s">
        <v>135</v>
      </c>
      <c r="I12" s="12" t="s">
        <v>8</v>
      </c>
      <c r="J12" s="12" t="s">
        <v>7</v>
      </c>
      <c r="K12" s="13">
        <v>0</v>
      </c>
      <c r="L12" s="14"/>
      <c r="M12" s="14"/>
      <c r="N12" s="11" t="s">
        <v>136</v>
      </c>
      <c r="O12" s="11" t="s">
        <v>137</v>
      </c>
      <c r="P12" s="11" t="s">
        <v>138</v>
      </c>
      <c r="Q12" s="11" t="s">
        <v>139</v>
      </c>
      <c r="R12" s="11" t="s">
        <v>140</v>
      </c>
      <c r="S12" s="11" t="s">
        <v>141</v>
      </c>
      <c r="T12" s="11" t="s">
        <v>142</v>
      </c>
      <c r="U12" s="11"/>
      <c r="V12" s="11"/>
    </row>
    <row r="13" spans="1:22" ht="82.7" customHeight="1">
      <c r="A13" s="12">
        <v>9</v>
      </c>
      <c r="B13" s="12">
        <v>9</v>
      </c>
      <c r="C13" s="12" t="s">
        <v>121</v>
      </c>
      <c r="D13" s="12" t="s">
        <v>143</v>
      </c>
      <c r="E13" s="11" t="s">
        <v>144</v>
      </c>
      <c r="F13" s="11" t="s">
        <v>145</v>
      </c>
      <c r="G13" s="12">
        <v>2024</v>
      </c>
      <c r="H13" s="12" t="s">
        <v>70</v>
      </c>
      <c r="I13" s="12" t="s">
        <v>11</v>
      </c>
      <c r="J13" s="12" t="s">
        <v>7</v>
      </c>
      <c r="K13" s="13">
        <v>0</v>
      </c>
      <c r="L13" s="14"/>
      <c r="M13" s="14"/>
      <c r="N13" s="11" t="s">
        <v>146</v>
      </c>
      <c r="O13" s="11" t="s">
        <v>147</v>
      </c>
      <c r="P13" s="11" t="s">
        <v>148</v>
      </c>
      <c r="Q13" s="11" t="s">
        <v>149</v>
      </c>
      <c r="R13" s="11" t="s">
        <v>150</v>
      </c>
      <c r="S13" s="11" t="s">
        <v>151</v>
      </c>
      <c r="T13" s="11" t="s">
        <v>152</v>
      </c>
      <c r="U13" s="11"/>
      <c r="V13" s="11"/>
    </row>
    <row r="14" spans="1:22" ht="82.7" customHeight="1">
      <c r="A14" s="12">
        <v>10</v>
      </c>
      <c r="B14" s="12">
        <v>10</v>
      </c>
      <c r="C14" s="12" t="s">
        <v>121</v>
      </c>
      <c r="D14" s="12" t="s">
        <v>153</v>
      </c>
      <c r="E14" s="11" t="s">
        <v>154</v>
      </c>
      <c r="F14" s="11" t="s">
        <v>155</v>
      </c>
      <c r="G14" s="12">
        <v>2024</v>
      </c>
      <c r="H14" s="12" t="s">
        <v>70</v>
      </c>
      <c r="I14" s="12" t="s">
        <v>11</v>
      </c>
      <c r="J14" s="12" t="s">
        <v>7</v>
      </c>
      <c r="K14" s="13">
        <v>0</v>
      </c>
      <c r="L14" s="14"/>
      <c r="M14" s="14"/>
      <c r="N14" s="11" t="s">
        <v>156</v>
      </c>
      <c r="O14" s="11" t="s">
        <v>157</v>
      </c>
      <c r="P14" s="11" t="s">
        <v>158</v>
      </c>
      <c r="Q14" s="11" t="s">
        <v>159</v>
      </c>
      <c r="R14" s="11" t="s">
        <v>160</v>
      </c>
      <c r="S14" s="11" t="s">
        <v>161</v>
      </c>
      <c r="T14" s="11" t="s">
        <v>162</v>
      </c>
      <c r="U14" s="11"/>
      <c r="V14" s="11"/>
    </row>
    <row r="15" spans="1:22" ht="82.7" customHeight="1">
      <c r="A15" s="12">
        <v>11</v>
      </c>
      <c r="B15" s="12">
        <v>11</v>
      </c>
      <c r="C15" s="12" t="s">
        <v>121</v>
      </c>
      <c r="D15" s="12" t="s">
        <v>163</v>
      </c>
      <c r="E15" s="11" t="s">
        <v>164</v>
      </c>
      <c r="F15" s="11" t="s">
        <v>165</v>
      </c>
      <c r="G15" s="12">
        <v>2024</v>
      </c>
      <c r="H15" s="12" t="s">
        <v>166</v>
      </c>
      <c r="I15" s="12" t="s">
        <v>8</v>
      </c>
      <c r="J15" s="12" t="s">
        <v>7</v>
      </c>
      <c r="K15" s="13">
        <v>0</v>
      </c>
      <c r="L15" s="14"/>
      <c r="M15" s="14"/>
      <c r="N15" s="11" t="s">
        <v>167</v>
      </c>
      <c r="O15" s="11" t="s">
        <v>168</v>
      </c>
      <c r="P15" s="11" t="s">
        <v>169</v>
      </c>
      <c r="Q15" s="11" t="s">
        <v>170</v>
      </c>
      <c r="R15" s="11" t="s">
        <v>171</v>
      </c>
      <c r="S15" s="11" t="s">
        <v>172</v>
      </c>
      <c r="T15" s="11" t="s">
        <v>173</v>
      </c>
      <c r="U15" s="11"/>
      <c r="V15" s="11"/>
    </row>
    <row r="16" spans="1:22" ht="82.7" customHeight="1">
      <c r="A16" s="12">
        <v>12</v>
      </c>
      <c r="B16" s="12">
        <v>12</v>
      </c>
      <c r="C16" s="12" t="s">
        <v>121</v>
      </c>
      <c r="D16" s="12" t="s">
        <v>174</v>
      </c>
      <c r="E16" s="11" t="s">
        <v>175</v>
      </c>
      <c r="F16" s="11" t="s">
        <v>176</v>
      </c>
      <c r="G16" s="12">
        <v>2024</v>
      </c>
      <c r="H16" s="12" t="s">
        <v>177</v>
      </c>
      <c r="I16" s="12" t="s">
        <v>11</v>
      </c>
      <c r="J16" s="12" t="s">
        <v>7</v>
      </c>
      <c r="K16" s="13">
        <v>0</v>
      </c>
      <c r="L16" s="14"/>
      <c r="M16" s="14"/>
      <c r="N16" s="11" t="s">
        <v>178</v>
      </c>
      <c r="O16" s="11" t="s">
        <v>179</v>
      </c>
      <c r="P16" s="11" t="s">
        <v>180</v>
      </c>
      <c r="Q16" s="11" t="s">
        <v>181</v>
      </c>
      <c r="R16" s="11" t="s">
        <v>182</v>
      </c>
      <c r="S16" s="11" t="s">
        <v>183</v>
      </c>
      <c r="T16" s="11" t="s">
        <v>184</v>
      </c>
      <c r="U16" s="11"/>
      <c r="V16" s="11"/>
    </row>
    <row r="17" spans="1:22" ht="82.7" customHeight="1">
      <c r="A17" s="12">
        <v>13</v>
      </c>
      <c r="B17" s="12">
        <v>13</v>
      </c>
      <c r="C17" s="12" t="s">
        <v>185</v>
      </c>
      <c r="D17" s="12" t="s">
        <v>186</v>
      </c>
      <c r="E17" s="11" t="s">
        <v>187</v>
      </c>
      <c r="F17" s="11" t="s">
        <v>188</v>
      </c>
      <c r="G17" s="12">
        <v>2024</v>
      </c>
      <c r="H17" s="12" t="s">
        <v>166</v>
      </c>
      <c r="I17" s="12" t="s">
        <v>8</v>
      </c>
      <c r="J17" s="12" t="s">
        <v>7</v>
      </c>
      <c r="K17" s="13">
        <v>0</v>
      </c>
      <c r="L17" s="14"/>
      <c r="M17" s="14"/>
      <c r="N17" s="11" t="s">
        <v>189</v>
      </c>
      <c r="O17" s="11" t="s">
        <v>190</v>
      </c>
      <c r="P17" s="11" t="s">
        <v>191</v>
      </c>
      <c r="Q17" s="11" t="s">
        <v>192</v>
      </c>
      <c r="R17" s="11" t="s">
        <v>193</v>
      </c>
      <c r="S17" s="11" t="s">
        <v>194</v>
      </c>
      <c r="T17" s="11" t="s">
        <v>195</v>
      </c>
      <c r="U17" s="11" t="s">
        <v>196</v>
      </c>
      <c r="V17" s="11"/>
    </row>
    <row r="18" spans="1:22" ht="82.7" customHeight="1">
      <c r="A18" s="12">
        <v>14</v>
      </c>
      <c r="B18" s="12">
        <v>14</v>
      </c>
      <c r="C18" s="12" t="s">
        <v>185</v>
      </c>
      <c r="D18" s="12" t="s">
        <v>197</v>
      </c>
      <c r="E18" s="11" t="s">
        <v>198</v>
      </c>
      <c r="F18" s="11" t="s">
        <v>199</v>
      </c>
      <c r="G18" s="12">
        <v>2021</v>
      </c>
      <c r="H18" s="12" t="s">
        <v>135</v>
      </c>
      <c r="I18" s="12" t="s">
        <v>8</v>
      </c>
      <c r="J18" s="12" t="s">
        <v>7</v>
      </c>
      <c r="K18" s="13">
        <v>0</v>
      </c>
      <c r="L18" s="14"/>
      <c r="M18" s="14"/>
      <c r="N18" s="11" t="s">
        <v>200</v>
      </c>
      <c r="O18" s="11" t="s">
        <v>201</v>
      </c>
      <c r="P18" s="11" t="s">
        <v>202</v>
      </c>
      <c r="Q18" s="11" t="s">
        <v>192</v>
      </c>
      <c r="R18" s="11" t="s">
        <v>203</v>
      </c>
      <c r="S18" s="11" t="s">
        <v>204</v>
      </c>
      <c r="T18" s="11" t="s">
        <v>205</v>
      </c>
      <c r="U18" s="11" t="s">
        <v>206</v>
      </c>
      <c r="V18" s="11"/>
    </row>
    <row r="19" spans="1:22" ht="82.7" customHeight="1">
      <c r="A19" s="12">
        <v>15</v>
      </c>
      <c r="B19" s="12">
        <v>15</v>
      </c>
      <c r="C19" s="12" t="s">
        <v>185</v>
      </c>
      <c r="D19" s="12" t="s">
        <v>197</v>
      </c>
      <c r="E19" s="11" t="s">
        <v>207</v>
      </c>
      <c r="F19" s="11" t="s">
        <v>208</v>
      </c>
      <c r="G19" s="12">
        <v>2021</v>
      </c>
      <c r="H19" s="12" t="s">
        <v>209</v>
      </c>
      <c r="I19" s="12" t="s">
        <v>14</v>
      </c>
      <c r="J19" s="12" t="s">
        <v>7</v>
      </c>
      <c r="K19" s="13">
        <v>0</v>
      </c>
      <c r="L19" s="14"/>
      <c r="M19" s="14"/>
      <c r="N19" s="11" t="s">
        <v>210</v>
      </c>
      <c r="O19" s="11" t="s">
        <v>211</v>
      </c>
      <c r="P19" s="11" t="s">
        <v>212</v>
      </c>
      <c r="Q19" s="11" t="s">
        <v>192</v>
      </c>
      <c r="R19" s="11" t="s">
        <v>213</v>
      </c>
      <c r="S19" s="11" t="s">
        <v>214</v>
      </c>
      <c r="T19" s="11" t="s">
        <v>215</v>
      </c>
      <c r="U19" s="11" t="s">
        <v>216</v>
      </c>
      <c r="V19" s="11"/>
    </row>
  </sheetData>
  <mergeCells count="2">
    <mergeCell ref="A1:V1"/>
    <mergeCell ref="A2:V2"/>
  </mergeCells>
  <conditionalFormatting sqref="I5:I19">
    <cfRule type="expression" dxfId="6" priority="1">
      <formula>I5="Critical"</formula>
    </cfRule>
    <cfRule type="expression" dxfId="5" priority="2">
      <formula>I5="High"</formula>
    </cfRule>
    <cfRule type="expression" dxfId="4" priority="3">
      <formula>I5="Medium"</formula>
    </cfRule>
  </conditionalFormatting>
  <conditionalFormatting sqref="J5:J19">
    <cfRule type="expression" dxfId="3" priority="4">
      <formula>J5="Completed"</formula>
    </cfRule>
    <cfRule type="expression" dxfId="2" priority="5">
      <formula>J5="Reading"</formula>
    </cfRule>
    <cfRule type="expression" dxfId="1" priority="6">
      <formula>J5="Revisit"</formula>
    </cfRule>
  </conditionalFormatting>
  <conditionalFormatting sqref="K5:K19">
    <cfRule type="dataBar" priority="7">
      <dataBar>
        <cfvo type="min"/>
        <cfvo type="max"/>
        <color rgb="FF5B9BD5"/>
      </dataBar>
    </cfRule>
    <cfRule type="dataBar" priority="8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{D497EEE8-CFA4-AB6B-210D-5C5439FAB8EA}</x14:id>
        </ext>
      </extLst>
    </cfRule>
  </conditionalFormatting>
  <dataValidations count="3">
    <dataValidation type="list" sqref="I5:I19" xr:uid="{00000000-0002-0000-0100-000000000000}">
      <formula1>"Critical,High,Medium,Low"</formula1>
    </dataValidation>
    <dataValidation type="list" sqref="J5:J19" xr:uid="{00000000-0002-0000-0100-000001000000}">
      <formula1>"Not Started,Skimming,Reading,Completed,Revisit"</formula1>
    </dataValidation>
    <dataValidation type="decimal" sqref="K5:K19" xr:uid="{00000000-0002-0000-0100-000002000000}">
      <formula1>0</formula1>
      <formula2>1</formula2>
    </dataValidation>
  </dataValidations>
  <hyperlinks>
    <hyperlink ref="U9" r:id="rId1" xr:uid="{0BF3F9BD-610E-C042-81B5-31508D57945B}"/>
  </hyperlinks>
  <pageMargins left="0.7" right="0.7" top="0.75" bottom="0.75" header="0.3" footer="0.3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97EEE8-CFA4-AB6B-210D-5C5439FAB8EA}">
            <x14:dataBar>
              <x14:cfvo type="min"/>
              <x14:cfvo type="max"/>
              <x14:negativeFillColor auto="1"/>
              <x14:axisColor auto="1"/>
            </x14:dataBar>
          </x14:cfRule>
          <xm:sqref>K5:K19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workbookViewId="0">
      <selection activeCell="F5" sqref="F5"/>
    </sheetView>
  </sheetViews>
  <sheetFormatPr defaultColWidth="8.875" defaultRowHeight="15"/>
  <cols>
    <col min="1" max="1" width="10" customWidth="1"/>
    <col min="2" max="2" width="13" customWidth="1"/>
    <col min="3" max="3" width="25" customWidth="1"/>
    <col min="4" max="4" width="52" customWidth="1"/>
    <col min="5" max="5" width="12" customWidth="1"/>
    <col min="6" max="6" width="42" customWidth="1"/>
    <col min="7" max="7" width="46" customWidth="1"/>
    <col min="8" max="8" width="15" customWidth="1"/>
  </cols>
  <sheetData>
    <row r="1" spans="1:8" ht="42.75" customHeight="1">
      <c r="A1" s="30" t="s">
        <v>217</v>
      </c>
      <c r="B1" s="30"/>
      <c r="C1" s="30"/>
      <c r="D1" s="30"/>
      <c r="E1" s="30"/>
      <c r="F1" s="30"/>
      <c r="G1" s="30"/>
      <c r="H1" s="30"/>
    </row>
    <row r="3" spans="1:8" ht="39.950000000000003" customHeight="1">
      <c r="A3" s="9" t="s">
        <v>218</v>
      </c>
      <c r="B3" s="9" t="s">
        <v>219</v>
      </c>
      <c r="C3" s="9" t="s">
        <v>36</v>
      </c>
      <c r="D3" s="9" t="s">
        <v>20</v>
      </c>
      <c r="E3" s="9" t="s">
        <v>5</v>
      </c>
      <c r="F3" s="9" t="s">
        <v>220</v>
      </c>
      <c r="G3" s="9" t="s">
        <v>221</v>
      </c>
      <c r="H3" s="9" t="s">
        <v>222</v>
      </c>
    </row>
    <row r="4" spans="1:8" ht="73.349999999999994" customHeight="1">
      <c r="A4" s="11">
        <v>1</v>
      </c>
      <c r="B4" s="11" t="s">
        <v>223</v>
      </c>
      <c r="C4" s="11" t="s">
        <v>55</v>
      </c>
      <c r="D4" s="11" t="s">
        <v>57</v>
      </c>
      <c r="E4" s="11" t="s">
        <v>11</v>
      </c>
      <c r="F4" s="11" t="s">
        <v>224</v>
      </c>
      <c r="G4" s="11" t="s">
        <v>225</v>
      </c>
      <c r="H4" s="11" t="s">
        <v>7</v>
      </c>
    </row>
    <row r="5" spans="1:8" ht="73.349999999999994" customHeight="1">
      <c r="A5" s="11">
        <v>2</v>
      </c>
      <c r="B5" s="11" t="s">
        <v>223</v>
      </c>
      <c r="C5" s="11" t="s">
        <v>55</v>
      </c>
      <c r="D5" s="11" t="s">
        <v>68</v>
      </c>
      <c r="E5" s="11" t="s">
        <v>11</v>
      </c>
      <c r="F5" s="11" t="s">
        <v>224</v>
      </c>
      <c r="G5" s="11" t="s">
        <v>225</v>
      </c>
      <c r="H5" s="11" t="s">
        <v>7</v>
      </c>
    </row>
    <row r="6" spans="1:8" ht="73.349999999999994" customHeight="1">
      <c r="A6" s="11">
        <v>3</v>
      </c>
      <c r="B6" s="11" t="s">
        <v>223</v>
      </c>
      <c r="C6" s="11" t="s">
        <v>55</v>
      </c>
      <c r="D6" s="11" t="s">
        <v>79</v>
      </c>
      <c r="E6" s="11" t="s">
        <v>11</v>
      </c>
      <c r="F6" s="11" t="s">
        <v>224</v>
      </c>
      <c r="G6" s="11" t="s">
        <v>225</v>
      </c>
      <c r="H6" s="11" t="s">
        <v>7</v>
      </c>
    </row>
    <row r="7" spans="1:8" ht="73.349999999999994" customHeight="1">
      <c r="A7" s="11">
        <v>4</v>
      </c>
      <c r="B7" s="11" t="s">
        <v>223</v>
      </c>
      <c r="C7" s="11" t="s">
        <v>88</v>
      </c>
      <c r="D7" s="11" t="s">
        <v>90</v>
      </c>
      <c r="E7" s="11" t="s">
        <v>8</v>
      </c>
      <c r="F7" s="11" t="s">
        <v>226</v>
      </c>
      <c r="G7" s="11" t="s">
        <v>227</v>
      </c>
      <c r="H7" s="11" t="s">
        <v>7</v>
      </c>
    </row>
    <row r="8" spans="1:8" ht="73.349999999999994" customHeight="1">
      <c r="A8" s="11">
        <v>5</v>
      </c>
      <c r="B8" s="11" t="s">
        <v>223</v>
      </c>
      <c r="C8" s="11" t="s">
        <v>88</v>
      </c>
      <c r="D8" s="11" t="s">
        <v>100</v>
      </c>
      <c r="E8" s="11" t="s">
        <v>8</v>
      </c>
      <c r="F8" s="11" t="s">
        <v>226</v>
      </c>
      <c r="G8" s="11" t="s">
        <v>227</v>
      </c>
      <c r="H8" s="11" t="s">
        <v>7</v>
      </c>
    </row>
    <row r="9" spans="1:8" ht="73.349999999999994" customHeight="1">
      <c r="A9" s="11">
        <v>6</v>
      </c>
      <c r="B9" s="11" t="s">
        <v>228</v>
      </c>
      <c r="C9" s="11" t="s">
        <v>88</v>
      </c>
      <c r="D9" s="11" t="s">
        <v>111</v>
      </c>
      <c r="E9" s="11" t="s">
        <v>8</v>
      </c>
      <c r="F9" s="11" t="s">
        <v>226</v>
      </c>
      <c r="G9" s="11" t="s">
        <v>227</v>
      </c>
      <c r="H9" s="11" t="s">
        <v>7</v>
      </c>
    </row>
    <row r="10" spans="1:8" ht="73.349999999999994" customHeight="1">
      <c r="A10" s="11">
        <v>7</v>
      </c>
      <c r="B10" s="11" t="s">
        <v>228</v>
      </c>
      <c r="C10" s="11" t="s">
        <v>121</v>
      </c>
      <c r="D10" s="11" t="s">
        <v>123</v>
      </c>
      <c r="E10" s="11" t="s">
        <v>11</v>
      </c>
      <c r="F10" s="11" t="s">
        <v>229</v>
      </c>
      <c r="G10" s="11" t="s">
        <v>230</v>
      </c>
      <c r="H10" s="11" t="s">
        <v>7</v>
      </c>
    </row>
    <row r="11" spans="1:8" ht="73.349999999999994" customHeight="1">
      <c r="A11" s="11">
        <v>8</v>
      </c>
      <c r="B11" s="11" t="s">
        <v>228</v>
      </c>
      <c r="C11" s="11" t="s">
        <v>88</v>
      </c>
      <c r="D11" s="11" t="s">
        <v>133</v>
      </c>
      <c r="E11" s="11" t="s">
        <v>8</v>
      </c>
      <c r="F11" s="11" t="s">
        <v>226</v>
      </c>
      <c r="G11" s="11" t="s">
        <v>227</v>
      </c>
      <c r="H11" s="11" t="s">
        <v>7</v>
      </c>
    </row>
    <row r="12" spans="1:8" ht="73.349999999999994" customHeight="1">
      <c r="A12" s="11">
        <v>9</v>
      </c>
      <c r="B12" s="11" t="s">
        <v>228</v>
      </c>
      <c r="C12" s="11" t="s">
        <v>121</v>
      </c>
      <c r="D12" s="11" t="s">
        <v>144</v>
      </c>
      <c r="E12" s="11" t="s">
        <v>11</v>
      </c>
      <c r="F12" s="11" t="s">
        <v>229</v>
      </c>
      <c r="G12" s="11" t="s">
        <v>230</v>
      </c>
      <c r="H12" s="11" t="s">
        <v>7</v>
      </c>
    </row>
    <row r="13" spans="1:8" ht="73.349999999999994" customHeight="1">
      <c r="A13" s="11">
        <v>10</v>
      </c>
      <c r="B13" s="11" t="s">
        <v>228</v>
      </c>
      <c r="C13" s="11" t="s">
        <v>121</v>
      </c>
      <c r="D13" s="11" t="s">
        <v>154</v>
      </c>
      <c r="E13" s="11" t="s">
        <v>11</v>
      </c>
      <c r="F13" s="11" t="s">
        <v>229</v>
      </c>
      <c r="G13" s="11" t="s">
        <v>230</v>
      </c>
      <c r="H13" s="11" t="s">
        <v>7</v>
      </c>
    </row>
    <row r="14" spans="1:8" ht="73.349999999999994" customHeight="1">
      <c r="A14" s="11">
        <v>11</v>
      </c>
      <c r="B14" s="11" t="s">
        <v>231</v>
      </c>
      <c r="C14" s="11" t="s">
        <v>121</v>
      </c>
      <c r="D14" s="11" t="s">
        <v>164</v>
      </c>
      <c r="E14" s="11" t="s">
        <v>8</v>
      </c>
      <c r="F14" s="11" t="s">
        <v>229</v>
      </c>
      <c r="G14" s="11" t="s">
        <v>230</v>
      </c>
      <c r="H14" s="11" t="s">
        <v>7</v>
      </c>
    </row>
    <row r="15" spans="1:8" ht="73.349999999999994" customHeight="1">
      <c r="A15" s="11">
        <v>12</v>
      </c>
      <c r="B15" s="11" t="s">
        <v>231</v>
      </c>
      <c r="C15" s="11" t="s">
        <v>121</v>
      </c>
      <c r="D15" s="11" t="s">
        <v>175</v>
      </c>
      <c r="E15" s="11" t="s">
        <v>11</v>
      </c>
      <c r="F15" s="11" t="s">
        <v>229</v>
      </c>
      <c r="G15" s="11" t="s">
        <v>230</v>
      </c>
      <c r="H15" s="11" t="s">
        <v>7</v>
      </c>
    </row>
    <row r="16" spans="1:8" ht="73.349999999999994" customHeight="1">
      <c r="A16" s="11">
        <v>13</v>
      </c>
      <c r="B16" s="11" t="s">
        <v>231</v>
      </c>
      <c r="C16" s="11" t="s">
        <v>185</v>
      </c>
      <c r="D16" s="11" t="s">
        <v>187</v>
      </c>
      <c r="E16" s="11" t="s">
        <v>8</v>
      </c>
      <c r="F16" s="11" t="s">
        <v>232</v>
      </c>
      <c r="G16" s="11" t="s">
        <v>233</v>
      </c>
      <c r="H16" s="11" t="s">
        <v>7</v>
      </c>
    </row>
    <row r="17" spans="1:8" ht="73.349999999999994" customHeight="1">
      <c r="A17" s="11">
        <v>14</v>
      </c>
      <c r="B17" s="11" t="s">
        <v>231</v>
      </c>
      <c r="C17" s="11" t="s">
        <v>185</v>
      </c>
      <c r="D17" s="11" t="s">
        <v>198</v>
      </c>
      <c r="E17" s="11" t="s">
        <v>8</v>
      </c>
      <c r="F17" s="11" t="s">
        <v>232</v>
      </c>
      <c r="G17" s="11" t="s">
        <v>233</v>
      </c>
      <c r="H17" s="11" t="s">
        <v>7</v>
      </c>
    </row>
    <row r="18" spans="1:8" ht="73.349999999999994" customHeight="1">
      <c r="A18" s="11">
        <v>15</v>
      </c>
      <c r="B18" s="11" t="s">
        <v>231</v>
      </c>
      <c r="C18" s="11" t="s">
        <v>185</v>
      </c>
      <c r="D18" s="11" t="s">
        <v>207</v>
      </c>
      <c r="E18" s="11" t="s">
        <v>14</v>
      </c>
      <c r="F18" s="11" t="s">
        <v>232</v>
      </c>
      <c r="G18" s="11" t="s">
        <v>233</v>
      </c>
      <c r="H18" s="11" t="s">
        <v>7</v>
      </c>
    </row>
  </sheetData>
  <mergeCells count="1">
    <mergeCell ref="A1:H1"/>
  </mergeCells>
  <conditionalFormatting sqref="H4:H18">
    <cfRule type="expression" dxfId="0" priority="1">
      <formula>H4="Completed"</formula>
    </cfRule>
  </conditionalFormatting>
  <dataValidations count="1">
    <dataValidation type="list" sqref="H4:H18" xr:uid="{00000000-0002-0000-0200-000000000000}">
      <formula1>"Not Started,Skimming,Reading,Completed,Revisit"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ColWidth="8.875" defaultRowHeight="15"/>
  <cols>
    <col min="1" max="4" width="18" customWidth="1"/>
  </cols>
  <sheetData>
    <row r="1" spans="1:4">
      <c r="A1" s="1" t="s">
        <v>42</v>
      </c>
      <c r="B1" s="2" t="s">
        <v>5</v>
      </c>
      <c r="C1" s="2" t="s">
        <v>234</v>
      </c>
      <c r="D1" s="3" t="s">
        <v>235</v>
      </c>
    </row>
    <row r="2" spans="1:4">
      <c r="A2" s="4" t="s">
        <v>7</v>
      </c>
      <c r="B2" t="s">
        <v>8</v>
      </c>
      <c r="C2" t="s">
        <v>236</v>
      </c>
      <c r="D2" s="5">
        <v>1</v>
      </c>
    </row>
    <row r="3" spans="1:4">
      <c r="A3" s="4" t="s">
        <v>10</v>
      </c>
      <c r="B3" t="s">
        <v>11</v>
      </c>
      <c r="C3" t="s">
        <v>237</v>
      </c>
      <c r="D3" s="5">
        <v>2</v>
      </c>
    </row>
    <row r="4" spans="1:4">
      <c r="A4" s="4" t="s">
        <v>13</v>
      </c>
      <c r="B4" t="s">
        <v>14</v>
      </c>
      <c r="C4" t="s">
        <v>238</v>
      </c>
      <c r="D4" s="5">
        <v>3</v>
      </c>
    </row>
    <row r="5" spans="1:4">
      <c r="A5" s="4" t="s">
        <v>9</v>
      </c>
      <c r="B5" t="s">
        <v>16</v>
      </c>
      <c r="D5" s="5">
        <v>4</v>
      </c>
    </row>
    <row r="6" spans="1:4">
      <c r="A6" s="6" t="s">
        <v>17</v>
      </c>
      <c r="B6" s="7"/>
      <c r="C6" s="7"/>
      <c r="D6" s="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2026-08-01T17:24:35Z</dcterms:created>
  <dcterms:modified xsi:type="dcterms:W3CDTF">2026-08-02T02:45:46Z</dcterms:modified>
  <cp:category/>
  <cp:contentStatus/>
</cp:coreProperties>
</file>