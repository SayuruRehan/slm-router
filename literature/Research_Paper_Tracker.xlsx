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5bdebcd01c4d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0db9932ca7e4036"/>
    <x:sheet xmlns:r="http://schemas.openxmlformats.org/officeDocument/2006/relationships" name="Paper Tracker" sheetId="2" r:id="R06d94cd9e00d446e"/>
    <x:sheet xmlns:r="http://schemas.openxmlformats.org/officeDocument/2006/relationships" name="Reading Plan" sheetId="3" r:id="Ra35c445465324c95"/>
    <x:sheet xmlns:r="http://schemas.openxmlformats.org/officeDocument/2006/relationships" name="Lists" sheetId="4" r:id="R83fa66a3278e48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F1F1F"/>
      <x:name val="Carlito"/>
    </x:font>
    <x:font>
      <x:b/>
      <x:sz val="11"/>
      <x:name val="Carlito"/>
    </x:font>
    <x:font>
      <x:b/>
      <x:sz val="11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</x:fills>
  <x:borders count="30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/>
    </x:xf>
    <x:xf numFmtId="0" fontId="1" fillId="2" borderId="11" xfId="0" applyNumberFormat="1" applyFont="1" applyFill="1" applyBorder="1" applyAlignment="1">
      <x:alignment horizontal="center"/>
    </x:xf>
    <x:xf numFmtId="0" fontId="1" fillId="2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 applyAlignment="1">
      <x:alignment horizontal="center" vertical="top" wrapText="1"/>
    </x:xf>
    <x:xf numFmtId="201" fontId="0" fillId="0" borderId="1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5" borderId="18" xfId="0" applyNumberFormat="1" applyFont="1" applyFill="1" applyBorder="1" applyAlignment="1">
      <x:alignment horizontal="center"/>
    </x:xf>
    <x:xf numFmtId="0" fontId="1" fillId="5" borderId="19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200" fontId="0" fillId="0" borderId="23" xfId="0" applyNumberFormat="1" applyFont="1" applyFill="1" applyBorder="1"/>
    <x:xf numFmtId="0" fontId="1" fillId="5" borderId="24" xfId="0" applyNumberFormat="1" applyFont="1" applyFill="1" applyBorder="1" applyAlignment="1">
      <x:alignment horizontal="center"/>
    </x:xf>
    <x:xf numFmtId="0" fontId="1" fillId="5" borderId="25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200" fontId="0" fillId="0" borderId="29" xfId="0" applyNumberFormat="1" applyFont="1" applyFill="1" applyBorder="1"/>
    <x:xf numFmtId="0" fontId="4" fillId="0" borderId="20" xfId="0" applyNumberFormat="1" applyFont="1" applyFill="1" applyBorder="1"/>
    <x:xf numFmtId="0" fontId="4" fillId="0" borderId="22" xfId="0" applyNumberFormat="1" applyFont="1" applyFill="1" applyBorder="1"/>
    <x:xf numFmtId="0" fontId="4" fillId="0" borderId="26" xfId="0" applyNumberFormat="1" applyFont="1" applyFill="1" applyBorder="1"/>
    <x:xf numFmtId="0" fontId="4" fillId="0" borderId="28" xfId="0" applyNumberFormat="1" applyFont="1" applyFill="1" applyBorder="1"/>
    <x:xf numFmtId="0" fontId="0" fillId="0" borderId="23" xfId="0" applyNumberFormat="1" applyFont="1" applyFill="1" applyBorder="1"/>
    <x:xf numFmtId="0" fontId="0" fillId="0" borderId="29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4" xfId="0" applyNumberFormat="1" applyFont="1" applyFill="1" applyBorder="1"/>
    <x:xf numFmtId="0" fontId="1" fillId="6" borderId="10" xfId="0" applyNumberFormat="1" applyFont="1" applyFill="1" applyBorder="1"/>
    <x:xf numFmtId="0" fontId="1" fillId="6" borderId="11" xfId="0" applyNumberFormat="1" applyFont="1" applyFill="1" applyBorder="1"/>
    <x:xf numFmtId="0" fontId="1" fillId="6" borderId="12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CE5CD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color rgb="FF073763"/>
      </x:font>
      <x:fill>
        <x:patternFill>
          <x:bgColor rgb="FFCFE2F3"/>
        </x:patternFill>
      </x:fill>
    </x:dxf>
    <x:dxf>
      <x:font>
        <x:color rgb="FF741B47"/>
      </x:font>
      <x:fill>
        <x:patternFill>
          <x:bgColor rgb="FFEAD1D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6f167bba1949a2" /><Relationship Type="http://schemas.openxmlformats.org/officeDocument/2006/relationships/theme" Target="/xl/theme/theme1.xml" Id="Rbd130b19e0dc45fb" /><Relationship Type="http://schemas.openxmlformats.org/officeDocument/2006/relationships/sharedStrings" Target="/xl/sharedStrings.xml" Id="R57ad1b5bbfa94329" /><Relationship Type="http://schemas.openxmlformats.org/officeDocument/2006/relationships/worksheet" Target="/xl/worksheets/sheet1.xml" Id="R00db9932ca7e4036" /><Relationship Type="http://schemas.openxmlformats.org/officeDocument/2006/relationships/worksheet" Target="/xl/worksheets/sheet2.xml" Id="R06d94cd9e00d446e" /><Relationship Type="http://schemas.openxmlformats.org/officeDocument/2006/relationships/worksheet" Target="/xl/worksheets/sheet3.xml" Id="Ra35c445465324c95" /><Relationship Type="http://schemas.openxmlformats.org/officeDocument/2006/relationships/worksheet" Target="/xl/worksheets/sheet4.xml" Id="R83fa66a3278e486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08fe5379f154c4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Reading Progress by Status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8fe5379f154c4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aperTrackerTable" displayName="PaperTrackerTable" ref="A4:V19" headerRowCount="1">
  <x:tableColumns count="22">
    <x:tableColumn id="1" name="ID"/>
    <x:tableColumn id="2" name="Reading Order"/>
    <x:tableColumn id="3" name="Phase"/>
    <x:tableColumn id="4" name="Theme"/>
    <x:tableColumn id="5" name="Paper Title"/>
    <x:tableColumn id="6" name="Authors"/>
    <x:tableColumn id="7" name="Year"/>
    <x:tableColumn id="8" name="Venue"/>
    <x:tableColumn id="9" name="Priority"/>
    <x:tableColumn id="10" name="Status"/>
    <x:tableColumn id="11" name="Read %"/>
    <x:tableColumn id="12" name="Start Date"/>
    <x:tableColumn id="13" name="Completed Date"/>
    <x:tableColumn id="14" name="Relevance to TriRoute"/>
    <x:tableColumn id="15" name="Key Contribution"/>
    <x:tableColumn id="16" name="Gap / How We Use It"/>
    <x:tableColumn id="17" name="Method Type"/>
    <x:tableColumn id="18" name="Use in Our Research"/>
    <x:tableColumn id="19" name="Primary Link"/>
    <x:tableColumn id="20" name="Secondary Link"/>
    <x:tableColumn id="21" name="Code / Dataset"/>
    <x:tableColumn id="2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eadingPlanTable" displayName="ReadingPlanTable" ref="A3:H18" headerRowCount="1">
  <x:tableColumns count="8">
    <x:tableColumn id="1" name="Sequence"/>
    <x:tableColumn id="2" name="Target Week"/>
    <x:tableColumn id="3" name="Phase"/>
    <x:tableColumn id="4" name="Paper"/>
    <x:tableColumn id="5" name="Priority"/>
    <x:tableColumn id="6" name="Reading Goal"/>
    <x:tableColumn id="7" name="Evidence to Extract"/>
    <x:tableColumn id="8" name="Comple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ffc718b1a264a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a2717f81bf44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231bcfaf754784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4" max="4" width="20" hidden="0" customWidth="1"/>
    <x:col min="5" max="5" width="12" hidden="0" customWidth="1"/>
    <x:col min="7" max="7" width="15" hidden="0" customWidth="1"/>
    <x:col min="8" max="8" width="12" hidden="0" customWidth="1"/>
    <x:col min="3" max="3" width="44" hidden="0" customWidth="1"/>
  </x:cols>
  <x:sheetData>
    <x:row r="1" ht="32" customHeight="1">
      <x:c r="A1" s="27" t="str">
        <x:v>TriRoute Literature Review Dashboard</x:v>
      </x:c>
      <x:c r="B1" s="27"/>
      <x:c r="C1" s="27"/>
      <x:c r="D1" s="27"/>
      <x:c r="E1" s="27"/>
      <x:c r="F1" s="27"/>
      <x:c r="G1" s="27"/>
      <x:c r="H1" s="27"/>
    </x:row>
    <x:row r="3">
      <x:c r="A3" s="65" t="str">
        <x:v>Metric</x:v>
      </x:c>
      <x:c r="B3" s="66" t="str">
        <x:v>Value</x:v>
      </x:c>
      <x:c r="D3" s="65" t="str">
        <x:v>Reading Status</x:v>
      </x:c>
      <x:c r="E3" s="66" t="str">
        <x:v>Count</x:v>
      </x:c>
      <x:c r="G3" s="65" t="str">
        <x:v>Priority</x:v>
      </x:c>
      <x:c r="H3" s="66" t="str">
        <x:v>Count</x:v>
      </x:c>
    </x:row>
    <x:row r="4">
      <x:c r="A4" s="77" t="str">
        <x:v>Total papers</x:v>
      </x:c>
      <x:c r="B4" s="68" t="n">
        <x:f>COUNTA('Paper Tracker'!E5:E19)</x:f>
        <x:v>15</x:v>
      </x:c>
      <x:c r="D4" s="67" t="str">
        <x:v>Not Started</x:v>
      </x:c>
      <x:c r="E4" s="68" t="n">
        <x:f>COUNTIF('Paper Tracker'!J5:J19,D4)</x:f>
        <x:v>15</x:v>
      </x:c>
      <x:c r="G4" s="67" t="str">
        <x:v>Critical</x:v>
      </x:c>
      <x:c r="H4" s="68" t="n">
        <x:f>COUNTIF('Paper Tracker'!I5:I19,G4)</x:f>
        <x:v>7</x:v>
      </x:c>
    </x:row>
    <x:row r="5">
      <x:c r="A5" s="77" t="str">
        <x:v>Completed</x:v>
      </x:c>
      <x:c r="B5" s="68" t="n">
        <x:f>COUNTIF('Paper Tracker'!J5:J19,"Completed")</x:f>
        <x:v>0</x:v>
      </x:c>
      <x:c r="D5" s="67" t="str">
        <x:v>Skimming</x:v>
      </x:c>
      <x:c r="E5" s="68" t="n">
        <x:f>COUNTIF('Paper Tracker'!J5:J19,D5)</x:f>
        <x:v>0</x:v>
      </x:c>
      <x:c r="G5" s="67" t="str">
        <x:v>High</x:v>
      </x:c>
      <x:c r="H5" s="68" t="n">
        <x:f>COUNTIF('Paper Tracker'!I5:I19,G5)</x:f>
        <x:v>7</x:v>
      </x:c>
    </x:row>
    <x:row r="6">
      <x:c r="A6" s="77" t="str">
        <x:v>Currently reading</x:v>
      </x:c>
      <x:c r="B6" s="68" t="n">
        <x:f>COUNTIF('Paper Tracker'!J5:J19,"Reading")</x:f>
        <x:v>0</x:v>
      </x:c>
      <x:c r="D6" s="67" t="str">
        <x:v>Reading</x:v>
      </x:c>
      <x:c r="E6" s="68" t="n">
        <x:f>COUNTIF('Paper Tracker'!J5:J19,D6)</x:f>
        <x:v>0</x:v>
      </x:c>
      <x:c r="G6" s="67" t="str">
        <x:v>Medium</x:v>
      </x:c>
      <x:c r="H6" s="68" t="n">
        <x:f>COUNTIF('Paper Tracker'!I5:I19,G6)</x:f>
        <x:v>1</x:v>
      </x:c>
    </x:row>
    <x:row r="7">
      <x:c r="A7" s="78" t="str">
        <x:v>Overall progress</x:v>
      </x:c>
      <x:c r="B7" s="70" t="n">
        <x:f>IFERROR(AVERAGE('Paper Tracker'!K5:K19),0)</x:f>
        <x:v>0</x:v>
      </x:c>
      <x:c r="D7" s="67" t="str">
        <x:v>Completed</x:v>
      </x:c>
      <x:c r="E7" s="68" t="n">
        <x:f>COUNTIF('Paper Tracker'!J5:J19,D7)</x:f>
        <x:v>0</x:v>
      </x:c>
      <x:c r="G7" s="69" t="str">
        <x:v>Low</x:v>
      </x:c>
      <x:c r="H7" s="81" t="n">
        <x:f>COUNTIF('Paper Tracker'!I5:I19,G7)</x:f>
        <x:v>0</x:v>
      </x:c>
    </x:row>
    <x:row r="8">
      <x:c r="D8" s="69" t="str">
        <x:v>Revisit</x:v>
      </x:c>
      <x:c r="E8" s="81" t="n">
        <x:f>COUNTIF('Paper Tracker'!J5:J19,D8)</x:f>
        <x:v>0</x:v>
      </x:c>
    </x:row>
    <x:row r="10">
      <x:c r="A10" s="84" t="str">
        <x:v>First five papers to read</x:v>
      </x:c>
      <x:c r="B10" s="84"/>
      <x:c r="C10" s="84"/>
      <x:c r="D10" s="84"/>
      <x:c r="E10" s="84"/>
      <x:c r="F10" s="84"/>
      <x:c r="G10" s="84"/>
      <x:c r="H10" s="84"/>
    </x:row>
    <x:row r="11">
      <x:c r="A11" s="91" t="str">
        <x:v>Order</x:v>
      </x:c>
      <x:c r="B11" s="92" t="str">
        <x:v>Paper</x:v>
      </x:c>
      <x:c r="C11" s="93" t="str">
        <x:v>Why first?</x:v>
      </x:c>
      <x:c r="D11" t="str"/>
      <x:c r="E11" t="str"/>
      <x:c r="F11" t="str"/>
      <x:c r="G11" t="str"/>
      <x:c r="H11" t="str"/>
    </x:row>
    <x:row r="12">
      <x:c r="A12" s="11" t="n">
        <x:v>1</x:v>
      </x:c>
      <x:c r="B12" s="12" t="str">
        <x:v>FrugalGPT</x:v>
      </x:c>
      <x:c r="C12" s="13" t="str">
        <x:v>Cost-aware cascade foundation</x:v>
      </x:c>
      <x:c r="D12" t="str"/>
      <x:c r="E12" t="str"/>
      <x:c r="F12" t="str"/>
      <x:c r="G12" t="str"/>
      <x:c r="H12" t="str"/>
    </x:row>
    <x:row r="13">
      <x:c r="A13" s="11" t="n">
        <x:v>2</x:v>
      </x:c>
      <x:c r="B13" s="12" t="str">
        <x:v>Hybrid LLM</x:v>
      </x:c>
      <x:c r="C13" s="13" t="str">
        <x:v>Query-only routing baseline</x:v>
      </x:c>
      <x:c r="D13" t="str"/>
      <x:c r="E13" t="str"/>
      <x:c r="F13" t="str"/>
      <x:c r="G13" t="str"/>
      <x:c r="H13" t="str"/>
    </x:row>
    <x:row r="14">
      <x:c r="A14" s="11" t="n">
        <x:v>3</x:v>
      </x:c>
      <x:c r="B14" s="12" t="str">
        <x:v>AutoMix</x:v>
      </x:c>
      <x:c r="C14" s="13" t="str">
        <x:v>Closest output-aware predecessor</x:v>
      </x:c>
      <x:c r="D14" t="str"/>
      <x:c r="E14" t="str"/>
      <x:c r="F14" t="str"/>
      <x:c r="G14" t="str"/>
      <x:c r="H14" t="str"/>
    </x:row>
    <x:row r="15">
      <x:c r="A15" s="11" t="n">
        <x:v>4</x:v>
      </x:c>
      <x:c r="B15" s="12" t="str">
        <x:v>RouteLLM</x:v>
      </x:c>
      <x:c r="C15" s="13" t="str">
        <x:v>Modern learned router baseline</x:v>
      </x:c>
      <x:c r="D15" t="str"/>
      <x:c r="E15" t="str"/>
      <x:c r="F15" t="str"/>
      <x:c r="G15" t="str"/>
      <x:c r="H15" t="str"/>
    </x:row>
    <x:row r="16">
      <x:c r="A16" s="14" t="n">
        <x:v>5</x:v>
      </x:c>
      <x:c r="B16" s="15" t="str">
        <x:v>Unified Routing and Cascading</x:v>
      </x:c>
      <x:c r="C16" s="16" t="str">
        <x:v>Theoretical framing for the proposed router</x:v>
      </x:c>
      <x:c r="D16" t="str"/>
      <x:c r="E16" t="str"/>
      <x:c r="F16" t="str"/>
      <x:c r="G16" t="str"/>
      <x:c r="H16" t="str"/>
    </x:row>
  </x:sheetData>
  <x:mergeCells>
    <x:mergeCell ref="A1:H1"/>
    <x:mergeCell ref="A10:H10"/>
  </x:mergeCells>
  <x:pageMargins left="0.7" right="0.7" top="0.75" bottom="0.75" header="0.3" footer="0.3"/>
  <x:drawing xmlns:r="http://schemas.openxmlformats.org/officeDocument/2006/relationships" r:id="R1ffc718b1a264ae2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24" hidden="0" customWidth="1"/>
    <x:col min="5" max="5" width="52" hidden="0" customWidth="1"/>
    <x:col min="6" max="6" width="26" hidden="0" customWidth="1"/>
    <x:col min="7" max="7" width="8" hidden="0" customWidth="1"/>
    <x:col min="8" max="8" width="16" hidden="0" customWidth="1"/>
    <x:col min="9" max="9" width="11" hidden="0" customWidth="1"/>
    <x:col min="10" max="10" width="14" hidden="0" customWidth="1"/>
    <x:col min="11" max="11" width="10" hidden="0" customWidth="1"/>
    <x:col min="12" max="12" width="13" hidden="0" customWidth="1"/>
    <x:col min="13" max="13" width="15" hidden="0" customWidth="1"/>
    <x:col min="14" max="14" width="42" hidden="0" customWidth="1"/>
    <x:col min="15" max="15" width="42" hidden="0" customWidth="1"/>
    <x:col min="16" max="16" width="48" hidden="0" customWidth="1"/>
    <x:col min="17" max="17" width="30" hidden="0" customWidth="1"/>
    <x:col min="18" max="18" width="34" hidden="0" customWidth="1"/>
    <x:col min="19" max="19" width="42" hidden="0" customWidth="1"/>
    <x:col min="20" max="20" width="34" hidden="0" customWidth="1"/>
    <x:col min="21" max="21" width="38" hidden="0" customWidth="1"/>
    <x:col min="22" max="22" width="42" hidden="0" customWidth="1"/>
    <x:col min="23" max="23" width="20" hidden="0" customWidth="1"/>
    <x:col min="24" max="24" width="34" hidden="0" customWidth="1"/>
    <x:col min="25" max="25" width="30" hidden="0" customWidth="1"/>
  </x:cols>
  <x:sheetData>
    <x:row r="1" ht="32" customHeight="1">
      <x:c r="A1" s="28" t="str">
        <x:v>TRACER Research Paper Tracker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</x:row>
    <x:row r="2" ht="30" customHeight="1">
      <x:c r="A2" s="36" t="str">
        <x:v>Track reading progress and evidence for TRACER: calibrated post-response ACCEPT–REPAIR–REGENERATE risk routing.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  <x:c r="V2" s="36"/>
    </x:row>
    <x:row r="4" ht="34" customHeight="1">
      <x:c r="A4" s="45" t="str">
        <x:v>ID</x:v>
      </x:c>
      <x:c r="B4" s="45" t="str">
        <x:v>Reading Order</x:v>
      </x:c>
      <x:c r="C4" s="45" t="str">
        <x:v>Phase</x:v>
      </x:c>
      <x:c r="D4" s="45" t="str">
        <x:v>Theme</x:v>
      </x:c>
      <x:c r="E4" s="45" t="str">
        <x:v>Paper Title</x:v>
      </x:c>
      <x:c r="F4" s="45" t="str">
        <x:v>Authors</x:v>
      </x:c>
      <x:c r="G4" s="45" t="str">
        <x:v>Year</x:v>
      </x:c>
      <x:c r="H4" s="45" t="str">
        <x:v>Venue</x:v>
      </x:c>
      <x:c r="I4" s="45" t="str">
        <x:v>Priority</x:v>
      </x:c>
      <x:c r="J4" s="45" t="str">
        <x:v>Status</x:v>
      </x:c>
      <x:c r="K4" s="45" t="str">
        <x:v>Read %</x:v>
      </x:c>
      <x:c r="L4" s="45" t="str">
        <x:v>Start Date</x:v>
      </x:c>
      <x:c r="M4" s="45" t="str">
        <x:v>Completed Date</x:v>
      </x:c>
      <x:c r="N4" s="45" t="str">
        <x:v>Relevance to TriRoute</x:v>
      </x:c>
      <x:c r="O4" s="45" t="str">
        <x:v>Key Contribution</x:v>
      </x:c>
      <x:c r="P4" s="45" t="str">
        <x:v>Gap / How We Use It</x:v>
      </x:c>
      <x:c r="Q4" s="45" t="str">
        <x:v>Method Type</x:v>
      </x:c>
      <x:c r="R4" s="45" t="str">
        <x:v>Use in Our Research</x:v>
      </x:c>
      <x:c r="S4" s="45" t="str">
        <x:v>Primary Link</x:v>
      </x:c>
      <x:c r="T4" s="45" t="str">
        <x:v>Secondary Link</x:v>
      </x:c>
      <x:c r="U4" s="45" t="str">
        <x:v>Code / Dataset</x:v>
      </x:c>
      <x:c r="V4" s="45" t="str">
        <x:v>Notes</x:v>
      </x:c>
      <x:c r="W4" s="100" t="str">
        <x:v>Peer Reviewed</x:v>
      </x:c>
      <x:c r="X4" s="100" t="str">
        <x:v>Verification Source</x:v>
      </x:c>
      <x:c r="Y4" s="100" t="str">
        <x:v>Paper Note</x:v>
      </x:c>
    </x:row>
    <x:row r="5" ht="62" customHeight="1">
      <x:c r="A5" s="55" t="n">
        <x:v>1</x:v>
      </x:c>
      <x:c r="B5" s="55" t="n">
        <x:v>1</x:v>
      </x:c>
      <x:c r="C5" s="55" t="str">
        <x:v>Foundations</x:v>
      </x:c>
      <x:c r="D5" s="55" t="str">
        <x:v>Cost-aware routing</x:v>
      </x:c>
      <x:c r="E5" s="52" t="str">
        <x:v>FrugalGPT: How to Use Large Language Models While Reducing Cost and Improving Performance</x:v>
      </x:c>
      <x:c r="F5" s="52" t="str">
        <x:v>Lingjiao Chen; Matei Zaharia; James Zou</x:v>
      </x:c>
      <x:c r="G5" s="55" t="n">
        <x:v>2024</x:v>
      </x:c>
      <x:c r="H5" s="55" t="str">
        <x:v>TMLR</x:v>
      </x:c>
      <x:c r="I5" s="55" t="str">
        <x:v>High</x:v>
      </x:c>
      <x:c r="J5" s="55" t="str">
        <x:v>Not Started</x:v>
      </x:c>
      <x:c r="K5" s="57" t="n">
        <x:v>0</x:v>
      </x:c>
      <x:c r="L5" s="59"/>
      <x:c r="M5" s="59"/>
      <x:c r="N5" s="52" t="str">
        <x:v>Introduces learned LLM cascades and cost–quality optimisation.</x:v>
      </x:c>
      <x:c r="O5" s="52" t="str">
        <x:v>Learns cascades over multiple LLMs to lower inference cost while maintaining quality.</x:v>
      </x:c>
      <x:c r="P5" s="52" t="str">
        <x:v>Foundation for cost-aware cascading; TriRoute expands the action space to accept, edit, or regenerate.</x:v>
      </x:c>
      <x:c r="Q5" s="52" t="str">
        <x:v>Model cascade / cost optimisation</x:v>
      </x:c>
      <x:c r="R5" s="52" t="str">
        <x:v>Core related work and baseline concept</x:v>
      </x:c>
      <x:c r="S5" s="52" t="str">
        <x:v>https://openreview.net/forum?id=cSimKw5p6R</x:v>
      </x:c>
      <x:c r="T5" s="52" t="str">
        <x:v>https://arxiv.org/abs/2305.05176</x:v>
      </x:c>
      <x:c r="U5" s="52" t="str"/>
      <x:c r="V5" s="52" t="str"/>
      <x:c r="W5" t="str">
        <x:v>Yes</x:v>
      </x:c>
      <x:c r="X5" t="str">
        <x:v>https://mlanthology.org/tmlr/2024/chen2024tmlr-frugalgpt/</x:v>
      </x:c>
      <x:c r="Y5" t="str">
        <x:v>literature/paper_notes/Chen2024_FrugalGPT.md</x:v>
      </x:c>
    </x:row>
    <x:row r="6" ht="62" customHeight="1">
      <x:c r="A6" s="55" t="n">
        <x:v>2</x:v>
      </x:c>
      <x:c r="B6" s="55" t="n">
        <x:v>2</x:v>
      </x:c>
      <x:c r="C6" s="55" t="str">
        <x:v>Foundations</x:v>
      </x:c>
      <x:c r="D6" s="55" t="str">
        <x:v>Pre-generation routing</x:v>
      </x:c>
      <x:c r="E6" s="52" t="str">
        <x:v>Hybrid LLM: Cost-Efficient and Quality-Aware Query Routing</x:v>
      </x:c>
      <x:c r="F6" s="52" t="str">
        <x:v>Ding et al.</x:v>
      </x:c>
      <x:c r="G6" s="55" t="n">
        <x:v>2024</x:v>
      </x:c>
      <x:c r="H6" s="55" t="str">
        <x:v>ICLR</x:v>
      </x:c>
      <x:c r="I6" s="55" t="str">
        <x:v>High</x:v>
      </x:c>
      <x:c r="J6" s="55" t="str">
        <x:v>Not Started</x:v>
      </x:c>
      <x:c r="K6" s="57" t="n">
        <x:v>0</x:v>
      </x:c>
      <x:c r="L6" s="59"/>
      <x:c r="M6" s="59"/>
      <x:c r="N6" s="52" t="str">
        <x:v>Strong baseline for deciding between a small and large model before generation.</x:v>
      </x:c>
      <x:c r="O6" s="52" t="str">
        <x:v>Predicts query difficulty to route requests to a weaker or stronger model.</x:v>
      </x:c>
      <x:c r="P6" s="52" t="str">
        <x:v>Shows limits of query-only routing because it cannot observe the SLM's actual output.</x:v>
      </x:c>
      <x:c r="Q6" s="52" t="str">
        <x:v>Query-based learned router</x:v>
      </x:c>
      <x:c r="R6" s="52" t="str">
        <x:v>Pre-generation routing baseline</x:v>
      </x:c>
      <x:c r="S6" s="52" t="str">
        <x:v>https://proceedings.iclr.cc/paper_files/paper/2024/hash/b47d93c99fa22ac0b377578af0a1f63a-Abstract-Conference.html</x:v>
      </x:c>
      <x:c r="T6" s="52" t="str">
        <x:v>https://arxiv.org/abs/2404.14618</x:v>
      </x:c>
      <x:c r="U6" s="52" t="str"/>
      <x:c r="V6" s="52" t="str"/>
      <x:c r="W6" t="str">
        <x:v>Yes</x:v>
      </x:c>
      <x:c r="X6" t="str">
        <x:v>https://proceedings.iclr.cc/paper_files/paper/2024/hash/b47d93c99fa22ac0b377578af0a1f63a-Abstract-Conference.html</x:v>
      </x:c>
      <x:c r="Y6" t="str">
        <x:v>literature/paper_notes/Ding2024_HybridLLM.md</x:v>
      </x:c>
    </x:row>
    <x:row r="7" ht="62" customHeight="1">
      <x:c r="A7" s="55" t="n">
        <x:v>3</x:v>
      </x:c>
      <x:c r="B7" s="55" t="n">
        <x:v>3</x:v>
      </x:c>
      <x:c r="C7" s="55" t="str">
        <x:v>Foundations</x:v>
      </x:c>
      <x:c r="D7" s="55" t="str">
        <x:v>Model cascading</x:v>
      </x:c>
      <x:c r="E7" s="52" t="str">
        <x:v>Large Language Model Cascades with Mixture of Thought Representations for Cost-Efficient Reasoning</x:v>
      </x:c>
      <x:c r="F7" s="52" t="str">
        <x:v>Yue et al.</x:v>
      </x:c>
      <x:c r="G7" s="55" t="n">
        <x:v>2024</x:v>
      </x:c>
      <x:c r="H7" s="55" t="str">
        <x:v>ICLR</x:v>
      </x:c>
      <x:c r="I7" s="55" t="str">
        <x:v>High</x:v>
      </x:c>
      <x:c r="J7" s="55" t="str">
        <x:v>Not Started</x:v>
      </x:c>
      <x:c r="K7" s="57" t="n">
        <x:v>0</x:v>
      </x:c>
      <x:c r="L7" s="59"/>
      <x:c r="M7" s="59"/>
      <x:c r="N7" s="52" t="str">
        <x:v>Uses weak-model answer consistency to decide escalation on reasoning tasks.</x:v>
      </x:c>
      <x:c r="O7" s="52" t="str">
        <x:v>Uses mixture-of-thought consistency as a routing signal in an LLM cascade.</x:v>
      </x:c>
      <x:c r="P7" s="52" t="str">
        <x:v>Useful self-consistency baseline; decision remains binary rather than edit versus regenerate.</x:v>
      </x:c>
      <x:c r="Q7" s="52" t="str">
        <x:v>Post-generation cascade / self-consistency</x:v>
      </x:c>
      <x:c r="R7" s="52" t="str">
        <x:v>Self-consistency routing baseline</x:v>
      </x:c>
      <x:c r="S7" s="52" t="str">
        <x:v>https://proceedings.iclr.cc/paper_files/paper/2024/hash/5de11e930c1bbfda5d4fc9d2b0924032-Abstract-Conference.html</x:v>
      </x:c>
      <x:c r="T7" s="52" t="str">
        <x:v>https://arxiv.org/abs/2310.03094</x:v>
      </x:c>
      <x:c r="U7" s="52" t="str"/>
      <x:c r="V7" s="52" t="str"/>
      <x:c r="W7" t="str">
        <x:v>Yes</x:v>
      </x:c>
      <x:c r="X7" t="str">
        <x:v>https://proceedings.iclr.cc/paper_files/paper/2024/hash/5de11e930c1bbfda5d4fc9d2b0924032-Abstract-Conference.html</x:v>
      </x:c>
      <x:c r="Y7" t="str">
        <x:v>literature/paper_notes/Yue2024_LLMCascades.md</x:v>
      </x:c>
    </x:row>
    <x:row r="8" ht="62" customHeight="1">
      <x:c r="A8" s="55" t="n">
        <x:v>4</x:v>
      </x:c>
      <x:c r="B8" s="55" t="n">
        <x:v>4</x:v>
      </x:c>
      <x:c r="C8" s="55" t="str">
        <x:v>Closest prior work</x:v>
      </x:c>
      <x:c r="D8" s="55" t="str">
        <x:v>Output-aware routing</x:v>
      </x:c>
      <x:c r="E8" s="52" t="str">
        <x:v>AutoMix: Automatically Mixing Language Models</x:v>
      </x:c>
      <x:c r="F8" s="52" t="str">
        <x:v>Aggarwal et al.</x:v>
      </x:c>
      <x:c r="G8" s="55" t="n">
        <x:v>2024</x:v>
      </x:c>
      <x:c r="H8" s="55" t="str">
        <x:v>NeurIPS</x:v>
      </x:c>
      <x:c r="I8" s="55" t="str">
        <x:v>Critical</x:v>
      </x:c>
      <x:c r="J8" s="55" t="str">
        <x:v>Not Started</x:v>
      </x:c>
      <x:c r="K8" s="57" t="n">
        <x:v>0</x:v>
      </x:c>
      <x:c r="L8" s="59"/>
      <x:c r="M8" s="59"/>
      <x:c r="N8" s="52" t="str">
        <x:v>Closest conceptual predecessor: the small model answers first, then the system decides whether to escalate.</x:v>
      </x:c>
      <x:c r="O8" s="52" t="str">
        <x:v>Uses approximate correctness estimation and a POMDP policy to mix language models.</x:v>
      </x:c>
      <x:c r="P8" s="52" t="str">
        <x:v>Primary predecessor; TriRoute extends accept-or-escalate into accept, edit, or regenerate.</x:v>
      </x:c>
      <x:c r="Q8" s="52" t="str">
        <x:v>Output-aware routing / POMDP</x:v>
      </x:c>
      <x:c r="R8" s="52" t="str">
        <x:v>Closest baseline and central comparison</x:v>
      </x:c>
      <x:c r="S8" s="52" t="str">
        <x:v>https://proceedings.neurips.cc/paper_files/paper/2024/hash/ecda225cb187b40ea8edc1f46b03ffda-Abstract-Conference.html</x:v>
      </x:c>
      <x:c r="T8" s="52" t="str"/>
      <x:c r="U8" s="52" t="str"/>
      <x:c r="V8" s="52" t="str"/>
      <x:c r="W8" t="str">
        <x:v>Yes</x:v>
      </x:c>
      <x:c r="X8" t="str">
        <x:v>https://proceedings.neurips.cc/paper_files/paper/2024/hash/ecda225cb187b40ea8edc1f46b03ffda-Abstract-Conference.html</x:v>
      </x:c>
      <x:c r="Y8" t="str">
        <x:v>literature/paper_notes/Aggarwal2024_AutoMix.md</x:v>
      </x:c>
    </x:row>
    <x:row r="9" ht="62" customHeight="1">
      <x:c r="A9" s="55" t="n">
        <x:v>5</x:v>
      </x:c>
      <x:c r="B9" s="55" t="n">
        <x:v>5</x:v>
      </x:c>
      <x:c r="C9" s="55" t="str">
        <x:v>Closest prior work</x:v>
      </x:c>
      <x:c r="D9" s="55" t="str">
        <x:v>Learned routing</x:v>
      </x:c>
      <x:c r="E9" s="52" t="str">
        <x:v>RouteLLM: Learning to Route LLMs with Preference Data</x:v>
      </x:c>
      <x:c r="F9" s="52" t="str">
        <x:v>Ong et al.</x:v>
      </x:c>
      <x:c r="G9" s="55" t="n">
        <x:v>2025</x:v>
      </x:c>
      <x:c r="H9" s="55" t="str">
        <x:v>ICLR</x:v>
      </x:c>
      <x:c r="I9" s="55" t="str">
        <x:v>Critical</x:v>
      </x:c>
      <x:c r="J9" s="55" t="str">
        <x:v>Not Started</x:v>
      </x:c>
      <x:c r="K9" s="57" t="n">
        <x:v>0</x:v>
      </x:c>
      <x:c r="L9" s="59"/>
      <x:c r="M9" s="59"/>
      <x:c r="N9" s="52" t="str">
        <x:v>Provides established learned-routing architectures and cross-dataset/model evaluation practices.</x:v>
      </x:c>
      <x:c r="O9" s="52" t="str">
        <x:v>Trains routers from preference data to select between weaker and stronger LLMs.</x:v>
      </x:c>
      <x:c r="P9" s="52" t="str">
        <x:v>Important learned-routing baseline; routes before seeing the SLM response.</x:v>
      </x:c>
      <x:c r="Q9" s="52" t="str">
        <x:v>Preference-based learned router</x:v>
      </x:c>
      <x:c r="R9" s="52" t="str">
        <x:v>Modern routing baseline</x:v>
      </x:c>
      <x:c r="S9" s="52" t="str">
        <x:v>https://proceedings.iclr.cc/paper_files/paper/2025/hash/5503a7c69d48a2f86fc00b3dc09de686-Abstract-Conference.html</x:v>
      </x:c>
      <x:c r="T9" s="52" t="str">
        <x:v>https://arxiv.org/abs/2406.18665</x:v>
      </x:c>
      <x:c r="U9" s="52" t="str">
        <x:v>https://github.com/lm-sys/RouteLLM</x:v>
      </x:c>
      <x:c r="V9" s="52" t="str"/>
      <x:c r="W9" t="str">
        <x:v>Yes</x:v>
      </x:c>
      <x:c r="X9" t="str">
        <x:v>https://proceedings.iclr.cc/paper_files/paper/2025/hash/5503a7c69d48a2f86fc00b3dc09de686-Abstract-Conference.html</x:v>
      </x:c>
      <x:c r="Y9" t="str">
        <x:v>literature/paper_notes/Ong2025_RouteLLM.md</x:v>
      </x:c>
    </x:row>
    <x:row r="10" ht="62" customHeight="1">
      <x:c r="A10" s="55" t="n">
        <x:v>6</x:v>
      </x:c>
      <x:c r="B10" s="55" t="n">
        <x:v>6</x:v>
      </x:c>
      <x:c r="C10" s="55" t="str">
        <x:v>Closest prior work</x:v>
      </x:c>
      <x:c r="D10" s="55" t="str">
        <x:v>Routing theory</x:v>
      </x:c>
      <x:c r="E10" s="52" t="str">
        <x:v>A Unified Approach to Routing and Cascading for LLMs</x:v>
      </x:c>
      <x:c r="F10" s="52" t="str">
        <x:v>Dekoninck; Baader; Vechev</x:v>
      </x:c>
      <x:c r="G10" s="55" t="n">
        <x:v>2025</x:v>
      </x:c>
      <x:c r="H10" s="55" t="str">
        <x:v>ICML</x:v>
      </x:c>
      <x:c r="I10" s="55" t="str">
        <x:v>Critical</x:v>
      </x:c>
      <x:c r="J10" s="55" t="str">
        <x:v>Not Started</x:v>
      </x:c>
      <x:c r="K10" s="57" t="n">
        <x:v>0</x:v>
      </x:c>
      <x:c r="L10" s="59"/>
      <x:c r="M10" s="59"/>
      <x:c r="N10" s="52" t="str">
        <x:v>Provides a unified formulation and highlights the importance of quality estimation.</x:v>
      </x:c>
      <x:c r="O10" s="52" t="str">
        <x:v>Unifies routing and cascading under a common optimisation framework.</x:v>
      </x:c>
      <x:c r="P10" s="52" t="str">
        <x:v>Theoretical foundation for action-outcome routing and quality–cost trade-offs.</x:v>
      </x:c>
      <x:c r="Q10" s="52" t="str">
        <x:v>Unified routing/cascade framework</x:v>
      </x:c>
      <x:c r="R10" s="52" t="str">
        <x:v>Theoretical framework and strong baseline</x:v>
      </x:c>
      <x:c r="S10" s="52" t="str">
        <x:v>https://proceedings.mlr.press/v267/dekoninck25a.html</x:v>
      </x:c>
      <x:c r="T10" s="52" t="str">
        <x:v>https://arxiv.org/abs/2410.10347</x:v>
      </x:c>
      <x:c r="U10" s="52" t="str"/>
      <x:c r="V10" s="52" t="str"/>
      <x:c r="W10" t="str">
        <x:v>Yes</x:v>
      </x:c>
      <x:c r="X10" t="str">
        <x:v>https://proceedings.mlr.press/v267/dekoninck25a.html</x:v>
      </x:c>
      <x:c r="Y10" t="str">
        <x:v>literature/paper_notes/Dekoninck2025_UnifiedRoutingCascading.md</x:v>
      </x:c>
    </x:row>
    <x:row r="11" ht="62" customHeight="1">
      <x:c r="A11" s="55" t="n">
        <x:v>7</x:v>
      </x:c>
      <x:c r="B11" s="55" t="n">
        <x:v>7</x:v>
      </x:c>
      <x:c r="C11" s="55" t="str">
        <x:v>Confidence and verification</x:v>
      </x:c>
      <x:c r="D11" s="55" t="str">
        <x:v>Confidence routing</x:v>
      </x:c>
      <x:c r="E11" s="52" t="str">
        <x:v>Learning to Route LLMs with Confidence Tokens</x:v>
      </x:c>
      <x:c r="F11" s="52" t="str">
        <x:v>Chuang et al.</x:v>
      </x:c>
      <x:c r="G11" s="55" t="n">
        <x:v>2025</x:v>
      </x:c>
      <x:c r="H11" s="55" t="str">
        <x:v>ICML</x:v>
      </x:c>
      <x:c r="I11" s="55" t="str">
        <x:v>High</x:v>
      </x:c>
      <x:c r="J11" s="55" t="str">
        <x:v>Not Started</x:v>
      </x:c>
      <x:c r="K11" s="57" t="n">
        <x:v>0</x:v>
      </x:c>
      <x:c r="L11" s="59"/>
      <x:c r="M11" s="59"/>
      <x:c r="N11" s="52" t="str">
        <x:v>Shows that learned confidence representations can improve routing over basic probability signals.</x:v>
      </x:c>
      <x:c r="O11" s="52" t="str">
        <x:v>Trains models to emit specialised confidence tokens for routing and rejection.</x:v>
      </x:c>
      <x:c r="P11" s="52" t="str">
        <x:v>Motivates learned confidence features and comparison against token-probability thresholds.</x:v>
      </x:c>
      <x:c r="Q11" s="52" t="str">
        <x:v>Learned confidence representation</x:v>
      </x:c>
      <x:c r="R11" s="52" t="str">
        <x:v>Confidence-routing baseline/concept</x:v>
      </x:c>
      <x:c r="S11" s="52" t="str">
        <x:v>https://proceedings.mlr.press/v267/chuang25b.html</x:v>
      </x:c>
      <x:c r="T11" s="52" t="str">
        <x:v>https://arxiv.org/abs/2410.13284</x:v>
      </x:c>
      <x:c r="U11" s="52" t="str"/>
      <x:c r="V11" s="52" t="str"/>
      <x:c r="W11" t="str">
        <x:v>Yes</x:v>
      </x:c>
      <x:c r="X11" t="str">
        <x:v>https://proceedings.mlr.press/v267/chuang25b.html</x:v>
      </x:c>
      <x:c r="Y11" t="str">
        <x:v>literature/paper_notes/Chuang2025_ConfidenceTokens.md</x:v>
      </x:c>
    </x:row>
    <x:row r="12" ht="62" customHeight="1">
      <x:c r="A12" s="55" t="n">
        <x:v>8</x:v>
      </x:c>
      <x:c r="B12" s="55" t="n">
        <x:v>8</x:v>
      </x:c>
      <x:c r="C12" s="55" t="str">
        <x:v>Closest prior work</x:v>
      </x:c>
      <x:c r="D12" s="55" t="str">
        <x:v>Efficient cascading</x:v>
      </x:c>
      <x:c r="E12" s="52" t="str">
        <x:v>SATER: A Self-Aware and Token-Efficient Approach to Routing and Cascading</x:v>
      </x:c>
      <x:c r="F12" s="52" t="str">
        <x:v>Shen et al.</x:v>
      </x:c>
      <x:c r="G12" s="55" t="n">
        <x:v>2025</x:v>
      </x:c>
      <x:c r="H12" s="55" t="str">
        <x:v>EMNLP</x:v>
      </x:c>
      <x:c r="I12" s="55" t="str">
        <x:v>Critical</x:v>
      </x:c>
      <x:c r="J12" s="55" t="str">
        <x:v>Not Started</x:v>
      </x:c>
      <x:c r="K12" s="57" t="n">
        <x:v>0</x:v>
      </x:c>
      <x:c r="L12" s="59"/>
      <x:c r="M12" s="59"/>
      <x:c r="N12" s="52" t="str">
        <x:v>Directly studies strong-model usage, redundant tokens, cost, and cascade latency.</x:v>
      </x:c>
      <x:c r="O12" s="52" t="str">
        <x:v>Combines pre-generation and cascade routing with token-efficient responses.</x:v>
      </x:c>
      <x:c r="P12" s="52" t="str">
        <x:v>Key comparison for end-to-end latency and redundant SLM generation.</x:v>
      </x:c>
      <x:c r="Q12" s="52" t="str">
        <x:v>Self-aware token-efficient cascade</x:v>
      </x:c>
      <x:c r="R12" s="52" t="str">
        <x:v>Efficiency and latency baseline</x:v>
      </x:c>
      <x:c r="S12" s="52" t="str">
        <x:v>https://aclanthology.org/2025.emnlp-main.531/</x:v>
      </x:c>
      <x:c r="T12" s="52" t="str">
        <x:v>https://arxiv.org/abs/2510.05164</x:v>
      </x:c>
      <x:c r="U12" s="52" t="str"/>
      <x:c r="V12" s="52" t="str"/>
      <x:c r="W12" t="str">
        <x:v>Yes</x:v>
      </x:c>
      <x:c r="X12" t="str">
        <x:v>https://aclanthology.org/2025.emnlp-main.531/</x:v>
      </x:c>
      <x:c r="Y12" t="str">
        <x:v>literature/paper_notes/Shen2025_SATER.md</x:v>
      </x:c>
    </x:row>
    <x:row r="13" ht="62" customHeight="1">
      <x:c r="A13" s="55" t="n">
        <x:v>9</x:v>
      </x:c>
      <x:c r="B13" s="55" t="n">
        <x:v>9</x:v>
      </x:c>
      <x:c r="C13" s="55" t="str">
        <x:v>Confidence and verification</x:v>
      </x:c>
      <x:c r="D13" s="55" t="str">
        <x:v>Tool-based correction</x:v>
      </x:c>
      <x:c r="E13" s="52" t="str">
        <x:v>CRITIC: Large Language Models Can Self-Correct with Tool-Interactive Critiquing</x:v>
      </x:c>
      <x:c r="F13" s="52" t="str">
        <x:v>Gou et al.</x:v>
      </x:c>
      <x:c r="G13" s="55" t="n">
        <x:v>2024</x:v>
      </x:c>
      <x:c r="H13" s="55" t="str">
        <x:v>ICLR</x:v>
      </x:c>
      <x:c r="I13" s="55" t="str">
        <x:v>High</x:v>
      </x:c>
      <x:c r="J13" s="55" t="str">
        <x:v>Not Started</x:v>
      </x:c>
      <x:c r="K13" s="57" t="n">
        <x:v>0</x:v>
      </x:c>
      <x:c r="L13" s="59"/>
      <x:c r="M13" s="59"/>
      <x:c r="N13" s="52" t="str">
        <x:v>Supports using external validators such as code execution instead of relying only on self-confidence.</x:v>
      </x:c>
      <x:c r="O13" s="52" t="str">
        <x:v>Uses external tools to critique and iteratively revise model outputs.</x:v>
      </x:c>
      <x:c r="P13" s="52" t="str">
        <x:v>Supports validator-assisted correction; TriRoute additionally decides whether correction is economical.</x:v>
      </x:c>
      <x:c r="Q13" s="52" t="str">
        <x:v>Tool-interactive verification and correction</x:v>
      </x:c>
      <x:c r="R13" s="52" t="str">
        <x:v>Correction and validator design</x:v>
      </x:c>
      <x:c r="S13" s="52" t="str">
        <x:v>https://proceedings.iclr.cc/paper_files/paper/2024/hash/fef126561bbf9d4467dbb8d27334b8fe-Abstract-Conference.html</x:v>
      </x:c>
      <x:c r="T13" s="52" t="str">
        <x:v>https://arxiv.org/abs/2305.11738</x:v>
      </x:c>
      <x:c r="U13" s="52" t="str"/>
      <x:c r="V13" s="52" t="str"/>
      <x:c r="W13" t="str">
        <x:v>Yes</x:v>
      </x:c>
      <x:c r="X13" t="str">
        <x:v>https://proceedings.iclr.cc/paper_files/paper/2024/hash/fef126561bbf9d4467dbb8d27334b8fe-Abstract-Conference.html</x:v>
      </x:c>
      <x:c r="Y13" t="str">
        <x:v>literature/paper_notes/Gou2024_CRITIC.md</x:v>
      </x:c>
    </x:row>
    <x:row r="14" ht="62" customHeight="1">
      <x:c r="A14" s="55" t="n">
        <x:v>10</x:v>
      </x:c>
      <x:c r="B14" s="55" t="n">
        <x:v>10</x:v>
      </x:c>
      <x:c r="C14" s="55" t="str">
        <x:v>Confidence and verification</x:v>
      </x:c>
      <x:c r="D14" s="55" t="str">
        <x:v>Self-correction limits</x:v>
      </x:c>
      <x:c r="E14" s="52" t="str">
        <x:v>Large Language Models Cannot Self-Correct Reasoning Yet</x:v>
      </x:c>
      <x:c r="F14" s="52" t="str">
        <x:v>Huang et al.</x:v>
      </x:c>
      <x:c r="G14" s="55" t="n">
        <x:v>2024</x:v>
      </x:c>
      <x:c r="H14" s="55" t="str">
        <x:v>ICLR</x:v>
      </x:c>
      <x:c r="I14" s="55" t="str">
        <x:v>High</x:v>
      </x:c>
      <x:c r="J14" s="55" t="str">
        <x:v>Not Started</x:v>
      </x:c>
      <x:c r="K14" s="57" t="n">
        <x:v>0</x:v>
      </x:c>
      <x:c r="L14" s="59"/>
      <x:c r="M14" s="59"/>
      <x:c r="N14" s="52" t="str">
        <x:v>Demonstrates that unaided self-correction may fail or damage correct reasoning.</x:v>
      </x:c>
      <x:c r="O14" s="52" t="str">
        <x:v>Empirically challenges the reliability of intrinsic self-correction without external feedback.</x:v>
      </x:c>
      <x:c r="P14" s="52" t="str">
        <x:v>Justifies independent validators and a controlled correction policy.</x:v>
      </x:c>
      <x:c r="Q14" s="52" t="str">
        <x:v>Empirical self-correction evaluation</x:v>
      </x:c>
      <x:c r="R14" s="52" t="str">
        <x:v>Motivation and risk analysis</x:v>
      </x:c>
      <x:c r="S14" s="52" t="str">
        <x:v>https://openreview.net/forum?id=IkmD3fKBPQ</x:v>
      </x:c>
      <x:c r="T14" s="52" t="str">
        <x:v>https://arxiv.org/abs/2310.01798</x:v>
      </x:c>
      <x:c r="U14" s="52" t="str"/>
      <x:c r="V14" s="52" t="str"/>
      <x:c r="W14" t="str">
        <x:v>Yes</x:v>
      </x:c>
      <x:c r="X14" t="str">
        <x:v>https://openreview.net/forum?id=IkmD3fKBPQ</x:v>
      </x:c>
      <x:c r="Y14" t="str">
        <x:v>literature/paper_notes/Huang2024_CannotSelfCorrect.md</x:v>
      </x:c>
    </x:row>
    <x:row r="15" ht="62" customHeight="1">
      <x:c r="A15" s="55" t="n">
        <x:v>11</x:v>
      </x:c>
      <x:c r="B15" s="55" t="n">
        <x:v>11</x:v>
      </x:c>
      <x:c r="C15" s="55" t="str">
        <x:v>Confidence and verification</x:v>
      </x:c>
      <x:c r="D15" s="55" t="str">
        <x:v>SLM verification</x:v>
      </x:c>
      <x:c r="E15" s="52" t="str">
        <x:v>Small Language Models Need Strong Verifiers to Self-Correct Reasoning</x:v>
      </x:c>
      <x:c r="F15" s="52" t="str">
        <x:v>Zhang et al.</x:v>
      </x:c>
      <x:c r="G15" s="55" t="n">
        <x:v>2024</x:v>
      </x:c>
      <x:c r="H15" s="55" t="str">
        <x:v>Findings of ACL</x:v>
      </x:c>
      <x:c r="I15" s="55" t="str">
        <x:v>Critical</x:v>
      </x:c>
      <x:c r="J15" s="55" t="str">
        <x:v>Not Started</x:v>
      </x:c>
      <x:c r="K15" s="57" t="n">
        <x:v>0</x:v>
      </x:c>
      <x:c r="L15" s="59"/>
      <x:c r="M15" s="59"/>
      <x:c r="N15" s="52" t="str">
        <x:v>Direct evidence that SLM correction improves with strong verification.</x:v>
      </x:c>
      <x:c r="O15" s="52" t="str">
        <x:v>Evaluates SLM self-correction and the effect of stronger verifier feedback.</x:v>
      </x:c>
      <x:c r="P15" s="52" t="str">
        <x:v>Directly supports SLM–LLM collaboration but does not optimise accept/edit/regenerate actions.</x:v>
      </x:c>
      <x:c r="Q15" s="52" t="str">
        <x:v>Verifier-assisted SLM correction</x:v>
      </x:c>
      <x:c r="R15" s="52" t="str">
        <x:v>Core correction-related work</x:v>
      </x:c>
      <x:c r="S15" s="52" t="str">
        <x:v>https://aclanthology.org/2024.findings-acl.924/</x:v>
      </x:c>
      <x:c r="T15" s="52" t="str">
        <x:v>https://arxiv.org/abs/2404.17140</x:v>
      </x:c>
      <x:c r="U15" s="52" t="str"/>
      <x:c r="V15" s="52" t="str"/>
      <x:c r="W15" t="str">
        <x:v>Yes</x:v>
      </x:c>
      <x:c r="X15" t="str">
        <x:v>https://aclanthology.org/2024.findings-acl.924/</x:v>
      </x:c>
      <x:c r="Y15" t="str">
        <x:v>literature/paper_notes/Zhang2024_SLMsNeedStrongVerifiers.md</x:v>
      </x:c>
    </x:row>
    <x:row r="16" ht="62" customHeight="1">
      <x:c r="A16" s="55" t="n">
        <x:v>12</x:v>
      </x:c>
      <x:c r="B16" s="55" t="n">
        <x:v>12</x:v>
      </x:c>
      <x:c r="C16" s="55" t="str">
        <x:v>Confidence and verification</x:v>
      </x:c>
      <x:c r="D16" s="55" t="str">
        <x:v>Confidence estimation</x:v>
      </x:c>
      <x:c r="E16" s="52" t="str">
        <x:v>Factual Confidence of LLMs: On Reliability and Robustness of Current Estimators</x:v>
      </x:c>
      <x:c r="F16" s="52" t="str">
        <x:v>Mahaut et al.</x:v>
      </x:c>
      <x:c r="G16" s="55" t="n">
        <x:v>2024</x:v>
      </x:c>
      <x:c r="H16" s="55" t="str">
        <x:v>ACL</x:v>
      </x:c>
      <x:c r="I16" s="55" t="str">
        <x:v>High</x:v>
      </x:c>
      <x:c r="J16" s="55" t="str">
        <x:v>Not Started</x:v>
      </x:c>
      <x:c r="K16" s="57" t="n">
        <x:v>0</x:v>
      </x:c>
      <x:c r="L16" s="59"/>
      <x:c r="M16" s="59"/>
      <x:c r="N16" s="52" t="str">
        <x:v>Compares confidence estimators and documents instability under meaning-preserving changes.</x:v>
      </x:c>
      <x:c r="O16" s="52" t="str">
        <x:v>Evaluates factual-confidence estimators including hidden-state probes and probability-based methods.</x:v>
      </x:c>
      <x:c r="P16" s="52" t="str">
        <x:v>Supports a multi-signal, calibrated failure detector instead of one confidence score.</x:v>
      </x:c>
      <x:c r="Q16" s="52" t="str">
        <x:v>Confidence estimation benchmark</x:v>
      </x:c>
      <x:c r="R16" s="52" t="str">
        <x:v>Confidence feature and calibration design</x:v>
      </x:c>
      <x:c r="S16" s="52" t="str">
        <x:v>https://aclanthology.org/2024.acl-long.250/</x:v>
      </x:c>
      <x:c r="T16" s="52" t="str">
        <x:v>https://arxiv.org/abs/2406.13415</x:v>
      </x:c>
      <x:c r="U16" s="52" t="str"/>
      <x:c r="V16" s="52" t="str"/>
      <x:c r="W16" t="str">
        <x:v>Yes</x:v>
      </x:c>
      <x:c r="X16" t="str">
        <x:v>https://aclanthology.org/2024.acl-long.250/</x:v>
      </x:c>
      <x:c r="Y16" t="str">
        <x:v>literature/paper_notes/Mahaut2024_FactualConfidence.md</x:v>
      </x:c>
    </x:row>
    <x:row r="17" ht="62" customHeight="1">
      <x:c r="A17" s="55" t="n">
        <x:v>13</x:v>
      </x:c>
      <x:c r="B17" s="55" t="n">
        <x:v>13</x:v>
      </x:c>
      <x:c r="C17" s="55" t="str">
        <x:v>Datasets and evaluation</x:v>
      </x:c>
      <x:c r="D17" s="55" t="str">
        <x:v>Code benchmark</x:v>
      </x:c>
      <x:c r="E17" s="52" t="str">
        <x:v>DebugBench: Evaluating Debugging Capability of Large Language Models</x:v>
      </x:c>
      <x:c r="F17" s="52" t="str">
        <x:v>Tian et al.</x:v>
      </x:c>
      <x:c r="G17" s="55" t="n">
        <x:v>2024</x:v>
      </x:c>
      <x:c r="H17" s="55" t="str">
        <x:v>Findings of ACL</x:v>
      </x:c>
      <x:c r="I17" s="55" t="str">
        <x:v>Critical</x:v>
      </x:c>
      <x:c r="J17" s="55" t="str">
        <x:v>Not Started</x:v>
      </x:c>
      <x:c r="K17" s="57" t="n">
        <x:v>0</x:v>
      </x:c>
      <x:c r="L17" s="59"/>
      <x:c r="M17" s="59"/>
      <x:c r="N17" s="52" t="str">
        <x:v>Potential code-debugging benchmark with objective execution-based validation.</x:v>
      </x:c>
      <x:c r="O17" s="52" t="str">
        <x:v>Provides a structured benchmark across bug categories and programming languages.</x:v>
      </x:c>
      <x:c r="P17" s="52" t="str">
        <x:v>Candidate dataset for measuring accept/edit/regenerate decisions on code failures.</x:v>
      </x:c>
      <x:c r="Q17" s="52" t="str">
        <x:v>Benchmark dataset</x:v>
      </x:c>
      <x:c r="R17" s="52" t="str">
        <x:v>Primary code dataset</x:v>
      </x:c>
      <x:c r="S17" s="52" t="str">
        <x:v>https://aclanthology.org/2024.findings-acl.247/</x:v>
      </x:c>
      <x:c r="T17" s="52" t="str">
        <x:v>https://arxiv.org/abs/2401.04621</x:v>
      </x:c>
      <x:c r="U17" s="52" t="str">
        <x:v>https://github.com/thunlp/DebugBench</x:v>
      </x:c>
      <x:c r="V17" s="52" t="str"/>
      <x:c r="W17" t="str">
        <x:v>Yes</x:v>
      </x:c>
      <x:c r="X17" t="str">
        <x:v>https://aclanthology.org/2024.findings-acl.247/</x:v>
      </x:c>
      <x:c r="Y17" t="str">
        <x:v>literature/paper_notes/Tian2024_DebugBench.md</x:v>
      </x:c>
    </x:row>
    <x:row r="18" ht="62" customHeight="1">
      <x:c r="A18" s="55" t="n">
        <x:v>14</x:v>
      </x:c>
      <x:c r="B18" s="55" t="n">
        <x:v>14</x:v>
      </x:c>
      <x:c r="C18" s="55" t="str">
        <x:v>Datasets and evaluation</x:v>
      </x:c>
      <x:c r="D18" s="55" t="str">
        <x:v>Financial reasoning benchmark</x:v>
      </x:c>
      <x:c r="E18" s="52" t="str">
        <x:v>FinQA: A Dataset of Numerical Reasoning over Financial Data</x:v>
      </x:c>
      <x:c r="F18" s="52" t="str">
        <x:v>Chen et al.</x:v>
      </x:c>
      <x:c r="G18" s="55" t="n">
        <x:v>2021</x:v>
      </x:c>
      <x:c r="H18" s="55" t="str">
        <x:v>EMNLP</x:v>
      </x:c>
      <x:c r="I18" s="55" t="str">
        <x:v>Critical</x:v>
      </x:c>
      <x:c r="J18" s="55" t="str">
        <x:v>Not Started</x:v>
      </x:c>
      <x:c r="K18" s="57" t="n">
        <x:v>0</x:v>
      </x:c>
      <x:c r="L18" s="59"/>
      <x:c r="M18" s="59"/>
      <x:c r="N18" s="52" t="str">
        <x:v>Primary numerical-reasoning benchmark with executable reasoning programs.</x:v>
      </x:c>
      <x:c r="O18" s="52" t="str">
        <x:v>Introduces financial QA with text, tables, answers, and annotated reasoning programs.</x:v>
      </x:c>
      <x:c r="P18" s="52" t="str">
        <x:v>Candidate dataset for objective reasoning and correction evaluation.</x:v>
      </x:c>
      <x:c r="Q18" s="52" t="str">
        <x:v>Benchmark dataset</x:v>
      </x:c>
      <x:c r="R18" s="52" t="str">
        <x:v>Primary reasoning dataset</x:v>
      </x:c>
      <x:c r="S18" s="52" t="str">
        <x:v>https://aclanthology.org/2021.emnlp-main.300/</x:v>
      </x:c>
      <x:c r="T18" s="52" t="str">
        <x:v>https://arxiv.org/abs/2109.00122</x:v>
      </x:c>
      <x:c r="U18" s="52" t="str">
        <x:v>https://github.com/czyssrs/FinQA</x:v>
      </x:c>
      <x:c r="V18" s="52" t="str"/>
      <x:c r="W18" t="str">
        <x:v>Yes</x:v>
      </x:c>
      <x:c r="X18" t="str">
        <x:v>https://aclanthology.org/2021.emnlp-main.300/</x:v>
      </x:c>
      <x:c r="Y18" t="str">
        <x:v>literature/paper_notes/Chen2021_FinQA.md</x:v>
      </x:c>
    </x:row>
    <x:row r="19" ht="62" customHeight="1">
      <x:c r="A19" s="55" t="n">
        <x:v>15</x:v>
      </x:c>
      <x:c r="B19" s="55" t="n">
        <x:v>15</x:v>
      </x:c>
      <x:c r="C19" s="55" t="str">
        <x:v>Datasets and evaluation</x:v>
      </x:c>
      <x:c r="D19" s="55" t="str">
        <x:v>Financial reasoning benchmark</x:v>
      </x:c>
      <x:c r="E19" s="52" t="str">
        <x:v>TAT-QA: A Question Answering Benchmark on a Hybrid of Tabular and Textual Content in Finance</x:v>
      </x:c>
      <x:c r="F19" s="52" t="str">
        <x:v>Zhu et al.</x:v>
      </x:c>
      <x:c r="G19" s="55" t="n">
        <x:v>2021</x:v>
      </x:c>
      <x:c r="H19" s="55" t="str">
        <x:v>ACL-IJCNLP</x:v>
      </x:c>
      <x:c r="I19" s="55" t="str">
        <x:v>Medium</x:v>
      </x:c>
      <x:c r="J19" s="55" t="str">
        <x:v>Not Started</x:v>
      </x:c>
      <x:c r="K19" s="57" t="n">
        <x:v>0</x:v>
      </x:c>
      <x:c r="L19" s="59"/>
      <x:c r="M19" s="59"/>
      <x:c r="N19" s="52" t="str">
        <x:v>Optional second financial benchmark combining table and text reasoning.</x:v>
      </x:c>
      <x:c r="O19" s="52" t="str">
        <x:v>Introduces hybrid tabular-text financial QA with multiple numerical operation types.</x:v>
      </x:c>
      <x:c r="P19" s="52" t="str">
        <x:v>Optional external/generalisation evaluation if time permits.</x:v>
      </x:c>
      <x:c r="Q19" s="52" t="str">
        <x:v>Benchmark dataset</x:v>
      </x:c>
      <x:c r="R19" s="52" t="str">
        <x:v>Optional secondary dataset</x:v>
      </x:c>
      <x:c r="S19" s="52" t="str">
        <x:v>https://aclanthology.org/2021.acl-long.254/</x:v>
      </x:c>
      <x:c r="T19" s="52" t="str">
        <x:v>https://arxiv.org/abs/2105.07624</x:v>
      </x:c>
      <x:c r="U19" s="52" t="str">
        <x:v>https://github.com/NExTplusplus/TAT-QA</x:v>
      </x:c>
      <x:c r="V19" s="52" t="str"/>
      <x:c r="W19" t="str">
        <x:v>Yes</x:v>
      </x:c>
      <x:c r="X19" t="str">
        <x:v>https://aclanthology.org/2021.acl-long.254/</x:v>
      </x:c>
      <x:c r="Y19" t="str">
        <x:v>literature/paper_notes/Zhu2021_TATQA.md</x:v>
      </x:c>
    </x:row>
    <x:row r="20">
      <x:c r="A20" s="51" t="n">
        <x:v>16</x:v>
      </x:c>
      <x:c r="B20" s="51" t="n">
        <x:v>16</x:v>
      </x:c>
      <x:c r="C20" s="51" t="str">
        <x:v>Evidence foundations</x:v>
      </x:c>
      <x:c r="D20" s="51" t="str">
        <x:v>Probability calibration</x:v>
      </x:c>
      <x:c r="E20" s="51" t="str">
        <x:v>On Calibration of Modern Neural Networks</x:v>
      </x:c>
      <x:c r="F20" s="51" t="str">
        <x:v>Chuan Guo; Geoff Pleiss; Yu Sun; Kilian Q. Weinberger</x:v>
      </x:c>
      <x:c r="G20" s="51" t="n">
        <x:v>2017</x:v>
      </x:c>
      <x:c r="H20" s="51" t="str">
        <x:v>ICML</x:v>
      </x:c>
      <x:c r="I20" s="51" t="str">
        <x:v>High</x:v>
      </x:c>
      <x:c r="J20" s="51" t="str">
        <x:v>Not Started</x:v>
      </x:c>
      <x:c r="K20" s="51" t="n">
        <x:v>0</x:v>
      </x:c>
      <x:c r="L20" s="51"/>
      <x:c r="M20" s="51"/>
      <x:c r="N20" s="51" t="str">
        <x:v>Direct methodological foundation for ACRE per-head temperature scaling.</x:v>
      </x:c>
      <x:c r="O20" s="51" t="str">
        <x:v>Modern neural networks can be poorly calibrated; temperature scaling is a strong simple post-hoc method.</x:v>
      </x:c>
      <x:c r="P20" s="51" t="str">
        <x:v>TRACER applies calibration to action-conditional residual-failure probabilities.</x:v>
      </x:c>
      <x:c r="Q20" s="51" t="str">
        <x:v>Compares post-hoc calibration methods; introduces temperature scaling as an effective practical baseline.</x:v>
      </x:c>
      <x:c r="R20" s="51" t="str">
        <x:v>Direct methodological foundation for ACRE per-head temperature scaling.</x:v>
      </x:c>
      <x:c r="S20" s="51" t="str">
        <x:v>https://proceedings.mlr.press/v70/guo17a.html</x:v>
      </x:c>
      <x:c r="T20" s="51" t="str">
        <x:v>https://arxiv.org/abs/1706.04599</x:v>
      </x:c>
      <x:c r="U20" s="51"/>
      <x:c r="V20" s="51" t="str">
        <x:v>Added in TRACER-24 literature audit.</x:v>
      </x:c>
      <x:c r="W20" s="51" t="str">
        <x:v>Yes</x:v>
      </x:c>
      <x:c r="X20" s="51" t="str">
        <x:v>https://proceedings.mlr.press/v70/guo17a.html</x:v>
      </x:c>
      <x:c r="Y20" s="51" t="str">
        <x:v>literature/paper_notes/Guo2017_Calibration.md</x:v>
      </x:c>
    </x:row>
    <x:row r="21">
      <x:c r="A21" s="51" t="n">
        <x:v>17</x:v>
      </x:c>
      <x:c r="B21" s="51" t="n">
        <x:v>17</x:v>
      </x:c>
      <x:c r="C21" s="51" t="str">
        <x:v>Evidence foundations</x:v>
      </x:c>
      <x:c r="D21" s="51" t="str">
        <x:v>Selective prediction</x:v>
      </x:c>
      <x:c r="E21" s="51" t="str">
        <x:v>SelectiveNet: A Deep Neural Network with an Integrated Reject Option</x:v>
      </x:c>
      <x:c r="F21" s="51" t="str">
        <x:v>Yonatan Geifman; Ran El-Yaniv</x:v>
      </x:c>
      <x:c r="G21" s="51" t="n">
        <x:v>2019</x:v>
      </x:c>
      <x:c r="H21" s="51" t="str">
        <x:v>ICML</x:v>
      </x:c>
      <x:c r="I21" s="51" t="str">
        <x:v>High</x:v>
      </x:c>
      <x:c r="J21" s="51" t="str">
        <x:v>Not Started</x:v>
      </x:c>
      <x:c r="K21" s="51" t="n">
        <x:v>0</x:v>
      </x:c>
      <x:c r="L21" s="51"/>
      <x:c r="M21" s="51"/>
      <x:c r="N21" s="51" t="str">
        <x:v>Foundational selective-risk/coverage concept for TRACER's epsilon policy.</x:v>
      </x:c>
      <x:c r="O21" s="51" t="str">
        <x:v>Jointly learned selection can improve risk at a given coverage over confidence-threshold baselines.</x:v>
      </x:c>
      <x:c r="P21" s="51" t="str">
        <x:v>TRACER has three actions and chooses between two remediation actions after ACCEPT is unsafe.</x:v>
      </x:c>
      <x:c r="Q21" s="51" t="str">
        <x:v>Integrated reject option trained end-to-end under target coverage.</x:v>
      </x:c>
      <x:c r="R21" s="51" t="str">
        <x:v>Foundational selective-risk/coverage concept for TRACER's epsilon policy.</x:v>
      </x:c>
      <x:c r="S21" s="51" t="str">
        <x:v>https://proceedings.mlr.press/v97/geifman19a.html</x:v>
      </x:c>
      <x:c r="T21" s="51" t="str">
        <x:v>https://arxiv.org/abs/1901.09192</x:v>
      </x:c>
      <x:c r="U21" s="51"/>
      <x:c r="V21" s="51" t="str">
        <x:v>Added in TRACER-24 literature audit.</x:v>
      </x:c>
      <x:c r="W21" s="51" t="str">
        <x:v>Yes</x:v>
      </x:c>
      <x:c r="X21" s="51" t="str">
        <x:v>https://proceedings.mlr.press/v97/geifman19a.html</x:v>
      </x:c>
      <x:c r="Y21" s="51" t="str">
        <x:v>literature/paper_notes/Geifman2019_SelectiveNet.md</x:v>
      </x:c>
    </x:row>
    <x:row r="22">
      <x:c r="A22" s="51" t="n">
        <x:v>18</x:v>
      </x:c>
      <x:c r="B22" s="51" t="n">
        <x:v>18</x:v>
      </x:c>
      <x:c r="C22" s="51" t="str">
        <x:v>Evidence foundations</x:v>
      </x:c>
      <x:c r="D22" s="51" t="str">
        <x:v>LM calibration</x:v>
      </x:c>
      <x:c r="E22" s="51" t="str">
        <x:v>How Can We Know When Language Models Know? On the Calibration of Language Models for Question Answering</x:v>
      </x:c>
      <x:c r="F22" s="51" t="str">
        <x:v>Zhengbao Jiang; Jun Araki; Haibo Ding; Graham Neubig</x:v>
      </x:c>
      <x:c r="G22" s="51" t="n">
        <x:v>2021</x:v>
      </x:c>
      <x:c r="H22" s="51" t="str">
        <x:v>TACL</x:v>
      </x:c>
      <x:c r="I22" s="51" t="str">
        <x:v>High</x:v>
      </x:c>
      <x:c r="J22" s="51" t="str">
        <x:v>Not Started</x:v>
      </x:c>
      <x:c r="K22" s="51" t="n">
        <x:v>0</x:v>
      </x:c>
      <x:c r="L22" s="51"/>
      <x:c r="M22" s="51"/>
      <x:c r="N22" s="51" t="str">
        <x:v>Direct language-model evidence that confidence requires calibration.</x:v>
      </x:c>
      <x:c r="O22" s="51" t="str">
        <x:v>Raw LM probabilities are substantially miscalibrated; calibration methods improve confidence/correctness correspondence.</x:v>
      </x:c>
      <x:c r="P22" s="51" t="str">
        <x:v>TRACER calibrates failure probability conditioned on each action, not just the initial answer.</x:v>
      </x:c>
      <x:c r="Q22" s="51" t="str">
        <x:v>Evaluates and improves LM calibration through fine-tuning and post-hoc modifications.</x:v>
      </x:c>
      <x:c r="R22" s="51" t="str">
        <x:v>Direct language-model evidence that confidence requires calibration.</x:v>
      </x:c>
      <x:c r="S22" s="51" t="str">
        <x:v>https://aclanthology.org/2021.tacl-1.57/</x:v>
      </x:c>
      <x:c r="T22" s="51" t="str">
        <x:v>https://doi.org/10.1162/tacl_a_00407</x:v>
      </x:c>
      <x:c r="U22" s="51"/>
      <x:c r="V22" s="51" t="str">
        <x:v>Added in TRACER-24 literature audit.</x:v>
      </x:c>
      <x:c r="W22" s="51" t="str">
        <x:v>Yes</x:v>
      </x:c>
      <x:c r="X22" s="51" t="str">
        <x:v>https://aclanthology.org/2021.tacl-1.57/</x:v>
      </x:c>
      <x:c r="Y22" s="51" t="str">
        <x:v>literature/paper_notes/Jiang2021_LMCalibration.md</x:v>
      </x:c>
    </x:row>
    <x:row r="23">
      <x:c r="A23" s="51" t="n">
        <x:v>19</x:v>
      </x:c>
      <x:c r="B23" s="51" t="n">
        <x:v>19</x:v>
      </x:c>
      <x:c r="C23" s="51" t="str">
        <x:v>Evidence foundations</x:v>
      </x:c>
      <x:c r="D23" s="51" t="str">
        <x:v>Conformal risk control</x:v>
      </x:c>
      <x:c r="E23" s="51" t="str">
        <x:v>Conformal Risk Control</x:v>
      </x:c>
      <x:c r="F23" s="51" t="str">
        <x:v>Anastasios N. Angelopoulos; Stephen Bates; Adam Fisch; Lihua Lei; Tal Schuster</x:v>
      </x:c>
      <x:c r="G23" s="51" t="n">
        <x:v>2024</x:v>
      </x:c>
      <x:c r="H23" s="51" t="str">
        <x:v>ICLR</x:v>
      </x:c>
      <x:c r="I23" s="51" t="str">
        <x:v>High</x:v>
      </x:c>
      <x:c r="J23" s="51" t="str">
        <x:v>Not Started</x:v>
      </x:c>
      <x:c r="K23" s="51" t="n">
        <x:v>0</x:v>
      </x:c>
      <x:c r="L23" s="51"/>
      <x:c r="M23" s="51"/>
      <x:c r="N23" s="51" t="str">
        <x:v>Theoretical reference for explicit risk thresholds and calibrated/selective policies.</x:v>
      </x:c>
      <x:c r="O23" s="51" t="str">
        <x:v>Provides a general framework for controlling expected risk using calibration data.</x:v>
      </x:c>
      <x:c r="P23" s="51" t="str">
        <x:v>TRACER learns three residual risks and uses an epsilon policy; formal conformal guarantees are not automatically implied.</x:v>
      </x:c>
      <x:c r="Q23" s="51" t="str">
        <x:v>Extends conformal prediction to select a parameter controlling expected risk.</x:v>
      </x:c>
      <x:c r="R23" s="51" t="str">
        <x:v>Theoretical reference for explicit risk thresholds and calibrated/selective policies.</x:v>
      </x:c>
      <x:c r="S23" s="51" t="str">
        <x:v>https://proceedings.iclr.cc/paper_files/paper/2024/hash/f3549ef9b5ff520a7e41ff3cc306ab2b-Abstract-Conference.html</x:v>
      </x:c>
      <x:c r="T23" s="51" t="str">
        <x:v>https://openreview.net/forum?id=33XGfHLtZg</x:v>
      </x:c>
      <x:c r="U23" s="51"/>
      <x:c r="V23" s="51" t="str">
        <x:v>Added in TRACER-24 literature audit.</x:v>
      </x:c>
      <x:c r="W23" s="51" t="str">
        <x:v>Yes</x:v>
      </x:c>
      <x:c r="X23" s="51" t="str">
        <x:v>https://proceedings.iclr.cc/paper_files/paper/2024/hash/f3549ef9b5ff520a7e41ff3cc306ab2b-Abstract-Conference.html</x:v>
      </x:c>
      <x:c r="Y23" s="51" t="str">
        <x:v>literature/paper_notes/Angelopoulos2024_ConformalRiskControl.md</x:v>
      </x:c>
    </x:row>
    <x:row r="24">
      <x:c r="A24" s="51" t="n">
        <x:v>20</x:v>
      </x:c>
      <x:c r="B24" s="51" t="n">
        <x:v>20</x:v>
      </x:c>
      <x:c r="C24" s="51" t="str">
        <x:v>Evidence foundations</x:v>
      </x:c>
      <x:c r="D24" s="51" t="str">
        <x:v>Selective generation</x:v>
      </x:c>
      <x:c r="E24" s="51" t="str">
        <x:v>Selective Generation for Controllable Language Models</x:v>
      </x:c>
      <x:c r="F24" s="51" t="str">
        <x:v>Minjae Lee; Kyungmin Kim; Taesoo Kim; Sangdon Park</x:v>
      </x:c>
      <x:c r="G24" s="51" t="n">
        <x:v>2024</x:v>
      </x:c>
      <x:c r="H24" s="51" t="str">
        <x:v>NeurIPS</x:v>
      </x:c>
      <x:c r="I24" s="51" t="str">
        <x:v>High</x:v>
      </x:c>
      <x:c r="J24" s="51" t="str">
        <x:v>Not Started</x:v>
      </x:c>
      <x:c r="K24" s="51" t="n">
        <x:v>0</x:v>
      </x:c>
      <x:c r="L24" s="51"/>
      <x:c r="M24" s="51"/>
      <x:c r="N24" s="51" t="str">
        <x:v>Direct generative selective-risk precedent; important for avoiding overclaiming novelty.</x:v>
      </x:c>
      <x:c r="O24" s="51" t="str">
        <x:v>Selective generation can meet desired risk levels with theoretical guarantees using an entailment-based correctness relation.</x:v>
      </x:c>
      <x:c r="P24" s="51" t="str">
        <x:v>TRACER's novelty is action-conditional remediation risk, not selective generation itself.</x:v>
      </x:c>
      <x:c r="Q24" s="51" t="str">
        <x:v>Supervised and semi-supervised selective generation controlling false discovery rate under entailment.</x:v>
      </x:c>
      <x:c r="R24" s="51" t="str">
        <x:v>Direct generative selective-risk precedent; important for avoiding overclaiming novelty.</x:v>
      </x:c>
      <x:c r="S24" s="51" t="str">
        <x:v>https://proceedings.neurips.cc/paper_files/paper/2024/hash/5a6815122f533193a022cbc41786c1cc-Abstract-Conference.html</x:v>
      </x:c>
      <x:c r="T24" s="51" t="str">
        <x:v>https://doi.org/10.52202/079017-1600</x:v>
      </x:c>
      <x:c r="U24" s="51"/>
      <x:c r="V24" s="51" t="str">
        <x:v>Added in TRACER-24 literature audit.</x:v>
      </x:c>
      <x:c r="W24" s="51" t="str">
        <x:v>Yes</x:v>
      </x:c>
      <x:c r="X24" s="51" t="str">
        <x:v>https://proceedings.neurips.cc/paper_files/paper/2024/hash/5a6815122f533193a022cbc41786c1cc-Abstract-Conference.html</x:v>
      </x:c>
      <x:c r="Y24" s="51" t="str">
        <x:v>literature/paper_notes/Lee2024_SelectiveGeneration.md</x:v>
      </x:c>
    </x:row>
    <x:row r="25">
      <x:c r="A25" s="51" t="n">
        <x:v>21</x:v>
      </x:c>
      <x:c r="B25" s="51" t="n">
        <x:v>21</x:v>
      </x:c>
      <x:c r="C25" s="51" t="str">
        <x:v>Updated closest work</x:v>
      </x:c>
      <x:c r="D25" s="51" t="str">
        <x:v>Adaptive test-time routing</x:v>
      </x:c>
      <x:c r="E25" s="51" t="str">
        <x:v>BEST-Route: Adaptive LLM Routing with Test-Time Optimal Compute</x:v>
      </x:c>
      <x:c r="F25" s="51" t="str">
        <x:v>Dujian Ding; Ankur Mallick; Shaokun Zhang; Chi Wang; Daniel Madrigal; Mirian Del Carmen Hipolito Garcia; Menglin Xia; Laks V. S. Lakshmanan; Qingyun Wu; Victor Rühle</x:v>
      </x:c>
      <x:c r="G25" s="51" t="n">
        <x:v>2025</x:v>
      </x:c>
      <x:c r="H25" s="51" t="str">
        <x:v>ICML</x:v>
      </x:c>
      <x:c r="I25" s="51" t="str">
        <x:v>Critical</x:v>
      </x:c>
      <x:c r="J25" s="51" t="str">
        <x:v>Not Started</x:v>
      </x:c>
      <x:c r="K25" s="51" t="n">
        <x:v>0</x:v>
      </x:c>
      <x:c r="L25" s="51"/>
      <x:c r="M25" s="51"/>
      <x:c r="N25" s="51" t="str">
        <x:v>Important updated closest work showing modern routers are not merely binary.</x:v>
      </x:c>
      <x:c r="O25" s="51" t="str">
        <x:v>Reports up to 60% cost reduction with less than 1% performance drop.</x:v>
      </x:c>
      <x:c r="P25" s="51" t="str">
        <x:v>Forces TRACER to state a narrower post-response action-risk contribution.</x:v>
      </x:c>
      <x:c r="Q25" s="51" t="str">
        <x:v>Routes by query difficulty and quality thresholds to a model plus response count.</x:v>
      </x:c>
      <x:c r="R25" s="51" t="str">
        <x:v>Important updated closest work showing modern routers are not merely binary.</x:v>
      </x:c>
      <x:c r="S25" s="51" t="str">
        <x:v>https://proceedings.mlr.press/v267/ding25d.html</x:v>
      </x:c>
      <x:c r="T25" s="51" t="str">
        <x:v>https://arxiv.org/abs/2506.22716</x:v>
      </x:c>
      <x:c r="U25" s="51"/>
      <x:c r="V25" s="51" t="str">
        <x:v>Added in TRACER-24 literature audit.</x:v>
      </x:c>
      <x:c r="W25" s="51" t="str">
        <x:v>Yes</x:v>
      </x:c>
      <x:c r="X25" s="51" t="str">
        <x:v>https://proceedings.mlr.press/v267/ding25d.html</x:v>
      </x:c>
      <x:c r="Y25" s="51" t="str">
        <x:v>literature/paper_notes/Ding2025_BESTRoute.md</x:v>
      </x:c>
    </x:row>
    <x:row r="26">
      <x:c r="A26" s="51" t="n">
        <x:v>22</x:v>
      </x:c>
      <x:c r="B26" s="51" t="n">
        <x:v>22</x:v>
      </x:c>
      <x:c r="C26" s="51" t="str">
        <x:v>Updated closest work</x:v>
      </x:c>
      <x:c r="D26" s="51" t="str">
        <x:v>Tail-risk calibration</x:v>
      </x:c>
      <x:c r="E26" s="51" t="str">
        <x:v>Conformal Tail Risk Control for Large Language Model Alignment</x:v>
      </x:c>
      <x:c r="F26" s="51" t="str">
        <x:v>Catherine Chen; Jingyan Shen; Zhun Deng; Lihua Lei</x:v>
      </x:c>
      <x:c r="G26" s="51" t="n">
        <x:v>2025</x:v>
      </x:c>
      <x:c r="H26" s="51" t="str">
        <x:v>ICML</x:v>
      </x:c>
      <x:c r="I26" s="51" t="str">
        <x:v>High</x:v>
      </x:c>
      <x:c r="J26" s="51" t="str">
        <x:v>Not Started</x:v>
      </x:c>
      <x:c r="K26" s="51" t="n">
        <x:v>0</x:v>
      </x:c>
      <x:c r="L26" s="51"/>
      <x:c r="M26" s="51"/>
      <x:c r="N26" s="51" t="str">
        <x:v>Strengthens TRACER's risk-calibration theoretical context.</x:v>
      </x:c>
      <x:c r="O26" s="51" t="str">
        <x:v>Provides calibrated guarantees for tail-risk measures despite scorer mismatch.</x:v>
      </x:c>
      <x:c r="P26" s="51" t="str">
        <x:v>TRACER predicts per-action ordinary residual failure; it should not imply conformal tail guarantees unless added explicitly.</x:v>
      </x:c>
      <x:c r="Q26" s="51" t="str">
        <x:v>Conformal calibration for distortion/tail risk measures using L-statistics.</x:v>
      </x:c>
      <x:c r="R26" s="51" t="str">
        <x:v>Strengthens TRACER's risk-calibration theoretical context.</x:v>
      </x:c>
      <x:c r="S26" s="51" t="str">
        <x:v>https://proceedings.mlr.press/v267/chen25bd.html</x:v>
      </x:c>
      <x:c r="T26" s="51" t="str">
        <x:v>https://arxiv.org/abs/2502.20285</x:v>
      </x:c>
      <x:c r="U26" s="51"/>
      <x:c r="V26" s="51" t="str">
        <x:v>Added in TRACER-24 literature audit.</x:v>
      </x:c>
      <x:c r="W26" s="51" t="str">
        <x:v>Yes</x:v>
      </x:c>
      <x:c r="X26" s="51" t="str">
        <x:v>https://proceedings.mlr.press/v267/chen25bd.html</x:v>
      </x:c>
      <x:c r="Y26" s="51" t="str">
        <x:v>literature/paper_notes/Chen2025_ConformalTailRisk.md</x:v>
      </x:c>
    </x:row>
    <x:row r="27">
      <x:c r="A27" s="51" t="n">
        <x:v>23</x:v>
      </x:c>
      <x:c r="B27" s="51" t="n">
        <x:v>23</x:v>
      </x:c>
      <x:c r="C27" s="51" t="str">
        <x:v>Updated closest work</x:v>
      </x:c>
      <x:c r="D27" s="51" t="str">
        <x:v>Adaptive abstention</x:v>
      </x:c>
      <x:c r="E27" s="51" t="str">
        <x:v>CAP: Conformalized Abstention Policies for Context-Adaptive Risk Management for LLMs and VLMs</x:v>
      </x:c>
      <x:c r="F27" s="51" t="str">
        <x:v>Sina Tayebati; Divake Kumar; Nastaran Darabi; Dinithi Jayasuriya; Theja Tulabandhula; Ranganath Krishnan; Amit Ranjan Trivedi</x:v>
      </x:c>
      <x:c r="G27" s="51" t="n">
        <x:v>2025</x:v>
      </x:c>
      <x:c r="H27" s="51" t="str">
        <x:v>ACML</x:v>
      </x:c>
      <x:c r="I27" s="51" t="str">
        <x:v>High</x:v>
      </x:c>
      <x:c r="J27" s="51" t="str">
        <x:v>Not Started</x:v>
      </x:c>
      <x:c r="K27" s="51" t="n">
        <x:v>0</x:v>
      </x:c>
      <x:c r="L27" s="51"/>
      <x:c r="M27" s="51"/>
      <x:c r="N27" s="51" t="str">
        <x:v>Updated evidence that adaptive risk management can be multi-action, so TRACER gap must be precise.</x:v>
      </x:c>
      <x:c r="O27" s="51" t="str">
        <x:v>Maintains target coverage while improving selective-generation/risk-management metrics over static conformal baselines.</x:v>
      </x:c>
      <x:c r="P27" s="51" t="str">
        <x:v>TRACER's specific contribution is calibrated residual failure for three response-handling actions.</x:v>
      </x:c>
      <x:c r="Q27" s="51" t="str">
        <x:v>Reinforcement-learning policy selects per-instance conformal risk level; includes point prediction, set prediction and abstention.</x:v>
      </x:c>
      <x:c r="R27" s="51" t="str">
        <x:v>Updated evidence that adaptive risk management can be multi-action, so TRACER gap must be precise.</x:v>
      </x:c>
      <x:c r="S27" s="51" t="str">
        <x:v>https://proceedings.mlr.press/v304/tayebati26a.html</x:v>
      </x:c>
      <x:c r="T27" s="51" t="str">
        <x:v>https://proceedings.mlr.press/v304/tayebati26a.html</x:v>
      </x:c>
      <x:c r="U27" s="51"/>
      <x:c r="V27" s="51" t="str">
        <x:v>Added in TRACER-24 literature audit.</x:v>
      </x:c>
      <x:c r="W27" s="51" t="str">
        <x:v>Yes</x:v>
      </x:c>
      <x:c r="X27" s="51" t="str">
        <x:v>https://proceedings.mlr.press/v304/tayebati26a.html</x:v>
      </x:c>
      <x:c r="Y27" s="51" t="str">
        <x:v>literature/paper_notes/Tayebati2025_CAP.md</x:v>
      </x:c>
    </x:row>
    <x:row r="28">
      <x:c r="A28" s="51" t="n">
        <x:v>24</x:v>
      </x:c>
      <x:c r="B28" s="51" t="n">
        <x:v>24</x:v>
      </x:c>
      <x:c r="C28" s="51" t="str">
        <x:v>Updated closest work</x:v>
      </x:c>
      <x:c r="D28" s="51" t="str">
        <x:v>Routing under noisy feedback</x:v>
      </x:c>
      <x:c r="E28" s="51" t="str">
        <x:v>LENS: Latent Precision Inference in Multi-LLM Routing</x:v>
      </x:c>
      <x:c r="F28" s="51" t="str">
        <x:v>Juntao Liu; Lixing Yu; Kun Yue; Zhiwen Tang</x:v>
      </x:c>
      <x:c r="G28" s="51" t="n">
        <x:v>2026</x:v>
      </x:c>
      <x:c r="H28" s="51" t="str">
        <x:v>UAI</x:v>
      </x:c>
      <x:c r="I28" s="51" t="str">
        <x:v>High</x:v>
      </x:c>
      <x:c r="J28" s="51" t="str">
        <x:v>Not Started</x:v>
      </x:c>
      <x:c r="K28" s="51" t="n">
        <x:v>0</x:v>
      </x:c>
      <x:c r="L28" s="51"/>
      <x:c r="M28" s="51"/>
      <x:c r="N28" s="51" t="str">
        <x:v>Very recent evidence on uncertainty in supervision and routing calibration under shift.</x:v>
      </x:c>
      <x:c r="O28" s="51" t="str">
        <x:v>Explicitly modeling feedback precision improves routing, especially under task/model shifts.</x:v>
      </x:c>
      <x:c r="P28" s="51" t="str">
        <x:v>TRACER should separate label/validator reliability concerns from its action-conditional risk model.</x:v>
      </x:c>
      <x:c r="Q28" s="51" t="str">
        <x:v>Probabilistic latent-precision model with posterior utility maximisation and variational inference.</x:v>
      </x:c>
      <x:c r="R28" s="51" t="str">
        <x:v>Very recent evidence on uncertainty in supervision and routing calibration under shift.</x:v>
      </x:c>
      <x:c r="S28" s="51" t="str">
        <x:v>https://proceedings.mlr.press/v337/liu26b.html</x:v>
      </x:c>
      <x:c r="T28" s="51" t="str">
        <x:v>https://proceedings.mlr.press/v337/liu26b.html</x:v>
      </x:c>
      <x:c r="U28" s="51"/>
      <x:c r="V28" s="51" t="str">
        <x:v>Added in TRACER-24 literature audit.</x:v>
      </x:c>
      <x:c r="W28" s="51" t="str">
        <x:v>Yes</x:v>
      </x:c>
      <x:c r="X28" s="51" t="str">
        <x:v>https://proceedings.mlr.press/v337/liu26b.html</x:v>
      </x:c>
      <x:c r="Y28" s="51" t="str">
        <x:v>literature/paper_notes/Liu2026_LENS.md</x:v>
      </x:c>
    </x:row>
    <x:row r="29">
      <x:c r="A29" s="51" t="n">
        <x:v>25</x:v>
      </x:c>
      <x:c r="B29" s="51" t="n">
        <x:v>25</x:v>
      </x:c>
      <x:c r="C29" s="51" t="str">
        <x:v>Updated closest work</x:v>
      </x:c>
      <x:c r="D29" s="51" t="str">
        <x:v>Resample vs reroute</x:v>
      </x:c>
      <x:c r="E29" s="51" t="str">
        <x:v>Resample or Reroute? Budget-Aware Test-Time Model Selection for Large Language Models</x:v>
      </x:c>
      <x:c r="F29" s="51" t="str">
        <x:v>Teng-Ruei Chen</x:v>
      </x:c>
      <x:c r="G29" s="51" t="n">
        <x:v>2026</x:v>
      </x:c>
      <x:c r="H29" s="51" t="str">
        <x:v>arXiv preprint</x:v>
      </x:c>
      <x:c r="I29" s="51" t="str">
        <x:v>Medium</x:v>
      </x:c>
      <x:c r="J29" s="51" t="str">
        <x:v>Not Started</x:v>
      </x:c>
      <x:c r="K29" s="51" t="n">
        <x:v>0</x:v>
      </x:c>
      <x:c r="L29" s="51"/>
      <x:c r="M29" s="51"/>
      <x:c r="N29" s="51" t="str">
        <x:v>Extremely close emerging work; must be discussed in novelty analysis.</x:v>
      </x:c>
      <x:c r="O29" s="51" t="str">
        <x:v>Reported gains depend on verifier quality and benchmark heterogeneity.</x:v>
      </x:c>
      <x:c r="P29" s="51" t="str">
        <x:v>TRACER's REPAIR explicitly conditions on and edits the existing SLM answer, while REGENERATE independently solves; ACRE estimates each action's residual failure rather than marginal correctness per cost.</x:v>
      </x:c>
      <x:c r="Q29" s="51" t="str">
        <x:v>Online marginal-correctness-per-cost allocation between resampling and rerouting.</x:v>
      </x:c>
      <x:c r="R29" s="51" t="str">
        <x:v>Extremely close emerging work; must be discussed in novelty analysis.</x:v>
      </x:c>
      <x:c r="S29" s="51" t="str">
        <x:v>https://arxiv.org/abs/2607.08665</x:v>
      </x:c>
      <x:c r="T29" s="51" t="str">
        <x:v>https://arxiv.org/abs/2607.08665</x:v>
      </x:c>
      <x:c r="U29" s="51"/>
      <x:c r="V29" s="51" t="str">
        <x:v>Added in TRACER-24 literature audit.</x:v>
      </x:c>
      <x:c r="W29" s="51" t="str">
        <x:v>No — preprint</x:v>
      </x:c>
      <x:c r="X29" s="51" t="str">
        <x:v>https://arxiv.org/abs/2607.08665</x:v>
      </x:c>
      <x:c r="Y29" s="51" t="str">
        <x:v>literature/paper_notes/Chen2026_ResampleOrReroute.md</x:v>
      </x:c>
    </x:row>
  </x:sheetData>
  <x:mergeCells>
    <x:mergeCell ref="A1:V1"/>
    <x:mergeCell ref="A2:V2"/>
  </x:mergeCells>
  <x:conditionalFormatting sqref="I5:I19">
    <x:cfRule type="expression" dxfId="0" priority="1">
      <x:formula>I5="Critical"</x:formula>
    </x:cfRule>
    <x:cfRule type="expression" dxfId="1" priority="2">
      <x:formula>I5="High"</x:formula>
    </x:cfRule>
    <x:cfRule type="expression" dxfId="2" priority="3">
      <x:formula>I5="Medium"</x:formula>
    </x:cfRule>
  </x:conditionalFormatting>
  <x:conditionalFormatting sqref="J5:J19">
    <x:cfRule type="expression" dxfId="3" priority="4">
      <x:formula>J5="Completed"</x:formula>
    </x:cfRule>
    <x:cfRule type="expression" dxfId="4" priority="5">
      <x:formula>J5="Reading"</x:formula>
    </x:cfRule>
    <x:cfRule type="expression" dxfId="5" priority="6">
      <x:formula>J5="Revisit"</x:formula>
    </x:cfRule>
  </x:conditionalFormatting>
  <x:conditionalFormatting sqref="K5:K19">
    <x:cfRule type="dataBar" priority="7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{D497EEE8-CFA4-AB6B-210D-5C5439FAB8EA}</x14:id>
        </x:ext>
      </x:extLst>
    </x:cfRule>
  </x:conditionalFormatting>
  <x:dataValidations count="3">
    <x:dataValidation type="list" sqref="I5:I19">
      <x:formula1>"Critical,High,Medium,Low"</x:formula1>
    </x:dataValidation>
    <x:dataValidation type="list" sqref="J5:J19">
      <x:formula1>"Not Started,Skimming,Reading,Completed,Revisit"</x:formula1>
    </x:dataValidation>
    <x:dataValidation type="decimal" operator="between" sqref="K5:K19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ea2717f81bf441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D497EEE8-CFA4-AB6B-210D-5C5439FAB8EA}">
            <x14:dataBar gradient="1">
              <x14:cfvo type="min"/>
              <x14:cfvo type="max"/>
              <x14:fillColor rgb="FF5B9BD5"/>
            </x14:dataBar>
          </x14:cfRule>
          <xm:sqref>K5:K19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25" hidden="0" customWidth="1"/>
    <x:col min="4" max="4" width="52" hidden="0" customWidth="1"/>
    <x:col min="5" max="5" width="12" hidden="0" customWidth="1"/>
    <x:col min="6" max="6" width="42" hidden="0" customWidth="1"/>
    <x:col min="7" max="7" width="46" hidden="0" customWidth="1"/>
    <x:col min="8" max="8" width="15" hidden="0" customWidth="1"/>
  </x:cols>
  <x:sheetData>
    <x:row r="1" ht="32" customHeight="1">
      <x:c r="A1" s="27" t="str">
        <x:v>Suggested Literature Review Reading Plan</x:v>
      </x:c>
      <x:c r="B1" s="27"/>
      <x:c r="C1" s="27"/>
      <x:c r="D1" s="27"/>
      <x:c r="E1" s="27"/>
      <x:c r="F1" s="27"/>
      <x:c r="G1" s="27"/>
      <x:c r="H1" s="27"/>
    </x:row>
    <x:row r="3" ht="30" customHeight="1">
      <x:c r="A3" s="44" t="str">
        <x:v>Sequence</x:v>
      </x:c>
      <x:c r="B3" s="44" t="str">
        <x:v>Target Week</x:v>
      </x:c>
      <x:c r="C3" s="44" t="str">
        <x:v>Phase</x:v>
      </x:c>
      <x:c r="D3" s="44" t="str">
        <x:v>Paper</x:v>
      </x:c>
      <x:c r="E3" s="44" t="str">
        <x:v>Priority</x:v>
      </x:c>
      <x:c r="F3" s="44" t="str">
        <x:v>Reading Goal</x:v>
      </x:c>
      <x:c r="G3" s="44" t="str">
        <x:v>Evidence to Extract</x:v>
      </x:c>
      <x:c r="H3" s="44" t="str">
        <x:v>Completion</x:v>
      </x:c>
    </x:row>
    <x:row r="4" ht="55" customHeight="1">
      <x:c r="A4" s="52" t="n">
        <x:v>1</x:v>
      </x:c>
      <x:c r="B4" s="52" t="str">
        <x:v>Week 1</x:v>
      </x:c>
      <x:c r="C4" s="52" t="str">
        <x:v>Foundations</x:v>
      </x:c>
      <x:c r="D4" s="52" t="str">
        <x:v>FrugalGPT: How to Use Large Language Models While Reducing Cost and Improving Performance</x:v>
      </x:c>
      <x:c r="E4" s="52" t="str">
        <x:v>High</x:v>
      </x:c>
      <x:c r="F4" s="52" t="str">
        <x:v>Understand routing/cascading assumptions and cost-quality objectives.</x:v>
      </x:c>
      <x:c r="G4" s="52" t="str">
        <x:v>Problem definition; routing inputs; objective function; reported savings; limitations.</x:v>
      </x:c>
      <x:c r="H4" s="52" t="str">
        <x:v>Not Started</x:v>
      </x:c>
    </x:row>
    <x:row r="5" ht="55" customHeight="1">
      <x:c r="A5" s="52" t="n">
        <x:v>2</x:v>
      </x:c>
      <x:c r="B5" s="52" t="str">
        <x:v>Week 1</x:v>
      </x:c>
      <x:c r="C5" s="52" t="str">
        <x:v>Foundations</x:v>
      </x:c>
      <x:c r="D5" s="52" t="str">
        <x:v>Hybrid LLM: Cost-Efficient and Quality-Aware Query Routing</x:v>
      </x:c>
      <x:c r="E5" s="52" t="str">
        <x:v>High</x:v>
      </x:c>
      <x:c r="F5" s="52" t="str">
        <x:v>Understand routing/cascading assumptions and cost-quality objectives.</x:v>
      </x:c>
      <x:c r="G5" s="52" t="str">
        <x:v>Problem definition; routing inputs; objective function; reported savings; limitations.</x:v>
      </x:c>
      <x:c r="H5" s="52" t="str">
        <x:v>Not Started</x:v>
      </x:c>
    </x:row>
    <x:row r="6" ht="55" customHeight="1">
      <x:c r="A6" s="52" t="n">
        <x:v>3</x:v>
      </x:c>
      <x:c r="B6" s="52" t="str">
        <x:v>Week 1</x:v>
      </x:c>
      <x:c r="C6" s="52" t="str">
        <x:v>Foundations</x:v>
      </x:c>
      <x:c r="D6" s="52" t="str">
        <x:v>Large Language Model Cascades with Mixture of Thought Representations for Cost-Efficient Reasoning</x:v>
      </x:c>
      <x:c r="E6" s="52" t="str">
        <x:v>High</x:v>
      </x:c>
      <x:c r="F6" s="52" t="str">
        <x:v>Understand routing/cascading assumptions and cost-quality objectives.</x:v>
      </x:c>
      <x:c r="G6" s="52" t="str">
        <x:v>Problem definition; routing inputs; objective function; reported savings; limitations.</x:v>
      </x:c>
      <x:c r="H6" s="52" t="str">
        <x:v>Not Started</x:v>
      </x:c>
    </x:row>
    <x:row r="7" ht="55" customHeight="1">
      <x:c r="A7" s="52" t="n">
        <x:v>4</x:v>
      </x:c>
      <x:c r="B7" s="52" t="str">
        <x:v>Week 1</x:v>
      </x:c>
      <x:c r="C7" s="52" t="str">
        <x:v>Closest prior work</x:v>
      </x:c>
      <x:c r="D7" s="52" t="str">
        <x:v>AutoMix: Automatically Mixing Language Models</x:v>
      </x:c>
      <x:c r="E7" s="52" t="str">
        <x:v>Critical</x:v>
      </x:c>
      <x:c r="F7" s="52" t="str">
        <x:v>Identify exact overlap, novelty boundary, baselines, and evaluation protocol.</x:v>
      </x:c>
      <x:c r="G7" s="52" t="str">
        <x:v>Action space; model architecture; training labels; baselines; generalisation tests.</x:v>
      </x:c>
      <x:c r="H7" s="52" t="str">
        <x:v>Not Started</x:v>
      </x:c>
    </x:row>
    <x:row r="8" ht="55" customHeight="1">
      <x:c r="A8" s="52" t="n">
        <x:v>5</x:v>
      </x:c>
      <x:c r="B8" s="52" t="str">
        <x:v>Week 1</x:v>
      </x:c>
      <x:c r="C8" s="52" t="str">
        <x:v>Closest prior work</x:v>
      </x:c>
      <x:c r="D8" s="52" t="str">
        <x:v>RouteLLM: Learning to Route LLMs with Preference Data</x:v>
      </x:c>
      <x:c r="E8" s="52" t="str">
        <x:v>Critical</x:v>
      </x:c>
      <x:c r="F8" s="52" t="str">
        <x:v>Identify exact overlap, novelty boundary, baselines, and evaluation protocol.</x:v>
      </x:c>
      <x:c r="G8" s="52" t="str">
        <x:v>Action space; model architecture; training labels; baselines; generalisation tests.</x:v>
      </x:c>
      <x:c r="H8" s="52" t="str">
        <x:v>Not Started</x:v>
      </x:c>
    </x:row>
    <x:row r="9" ht="55" customHeight="1">
      <x:c r="A9" s="52" t="n">
        <x:v>6</x:v>
      </x:c>
      <x:c r="B9" s="52" t="str">
        <x:v>Week 2</x:v>
      </x:c>
      <x:c r="C9" s="52" t="str">
        <x:v>Closest prior work</x:v>
      </x:c>
      <x:c r="D9" s="52" t="str">
        <x:v>A Unified Approach to Routing and Cascading for LLMs</x:v>
      </x:c>
      <x:c r="E9" s="52" t="str">
        <x:v>Critical</x:v>
      </x:c>
      <x:c r="F9" s="52" t="str">
        <x:v>Identify exact overlap, novelty boundary, baselines, and evaluation protocol.</x:v>
      </x:c>
      <x:c r="G9" s="52" t="str">
        <x:v>Action space; model architecture; training labels; baselines; generalisation tests.</x:v>
      </x:c>
      <x:c r="H9" s="52" t="str">
        <x:v>Not Started</x:v>
      </x:c>
    </x:row>
    <x:row r="10" ht="55" customHeight="1">
      <x:c r="A10" s="52" t="n">
        <x:v>7</x:v>
      </x:c>
      <x:c r="B10" s="52" t="str">
        <x:v>Week 2</x:v>
      </x:c>
      <x:c r="C10" s="52" t="str">
        <x:v>Confidence and verification</x:v>
      </x:c>
      <x:c r="D10" s="52" t="str">
        <x:v>Learning to Route LLMs with Confidence Tokens</x:v>
      </x:c>
      <x:c r="E10" s="52" t="str">
        <x:v>High</x:v>
      </x:c>
      <x:c r="F10" s="52" t="str">
        <x:v>Extract confidence signals, verifier design, and self-correction limitations.</x:v>
      </x:c>
      <x:c r="G10" s="52" t="str">
        <x:v>Confidence measures; calibration; verifier feedback; failure cases.</x:v>
      </x:c>
      <x:c r="H10" s="52" t="str">
        <x:v>Not Started</x:v>
      </x:c>
    </x:row>
    <x:row r="11" ht="55" customHeight="1">
      <x:c r="A11" s="52" t="n">
        <x:v>8</x:v>
      </x:c>
      <x:c r="B11" s="52" t="str">
        <x:v>Week 2</x:v>
      </x:c>
      <x:c r="C11" s="52" t="str">
        <x:v>Closest prior work</x:v>
      </x:c>
      <x:c r="D11" s="52" t="str">
        <x:v>SATER: A Self-Aware and Token-Efficient Approach to Routing and Cascading</x:v>
      </x:c>
      <x:c r="E11" s="52" t="str">
        <x:v>Critical</x:v>
      </x:c>
      <x:c r="F11" s="52" t="str">
        <x:v>Identify exact overlap, novelty boundary, baselines, and evaluation protocol.</x:v>
      </x:c>
      <x:c r="G11" s="52" t="str">
        <x:v>Action space; model architecture; training labels; baselines; generalisation tests.</x:v>
      </x:c>
      <x:c r="H11" s="52" t="str">
        <x:v>Not Started</x:v>
      </x:c>
    </x:row>
    <x:row r="12" ht="55" customHeight="1">
      <x:c r="A12" s="52" t="n">
        <x:v>9</x:v>
      </x:c>
      <x:c r="B12" s="52" t="str">
        <x:v>Week 2</x:v>
      </x:c>
      <x:c r="C12" s="52" t="str">
        <x:v>Confidence and verification</x:v>
      </x:c>
      <x:c r="D12" s="52" t="str">
        <x:v>CRITIC: Large Language Models Can Self-Correct with Tool-Interactive Critiquing</x:v>
      </x:c>
      <x:c r="E12" s="52" t="str">
        <x:v>High</x:v>
      </x:c>
      <x:c r="F12" s="52" t="str">
        <x:v>Extract confidence signals, verifier design, and self-correction limitations.</x:v>
      </x:c>
      <x:c r="G12" s="52" t="str">
        <x:v>Confidence measures; calibration; verifier feedback; failure cases.</x:v>
      </x:c>
      <x:c r="H12" s="52" t="str">
        <x:v>Not Started</x:v>
      </x:c>
    </x:row>
    <x:row r="13" ht="55" customHeight="1">
      <x:c r="A13" s="52" t="n">
        <x:v>10</x:v>
      </x:c>
      <x:c r="B13" s="52" t="str">
        <x:v>Week 2</x:v>
      </x:c>
      <x:c r="C13" s="52" t="str">
        <x:v>Confidence and verification</x:v>
      </x:c>
      <x:c r="D13" s="52" t="str">
        <x:v>Large Language Models Cannot Self-Correct Reasoning Yet</x:v>
      </x:c>
      <x:c r="E13" s="52" t="str">
        <x:v>High</x:v>
      </x:c>
      <x:c r="F13" s="52" t="str">
        <x:v>Extract confidence signals, verifier design, and self-correction limitations.</x:v>
      </x:c>
      <x:c r="G13" s="52" t="str">
        <x:v>Confidence measures; calibration; verifier feedback; failure cases.</x:v>
      </x:c>
      <x:c r="H13" s="52" t="str">
        <x:v>Not Started</x:v>
      </x:c>
    </x:row>
    <x:row r="14" ht="55" customHeight="1">
      <x:c r="A14" s="52" t="n">
        <x:v>11</x:v>
      </x:c>
      <x:c r="B14" s="52" t="str">
        <x:v>Week 3</x:v>
      </x:c>
      <x:c r="C14" s="52" t="str">
        <x:v>Confidence and verification</x:v>
      </x:c>
      <x:c r="D14" s="52" t="str">
        <x:v>Small Language Models Need Strong Verifiers to Self-Correct Reasoning</x:v>
      </x:c>
      <x:c r="E14" s="52" t="str">
        <x:v>Critical</x:v>
      </x:c>
      <x:c r="F14" s="52" t="str">
        <x:v>Extract confidence signals, verifier design, and self-correction limitations.</x:v>
      </x:c>
      <x:c r="G14" s="52" t="str">
        <x:v>Confidence measures; calibration; verifier feedback; failure cases.</x:v>
      </x:c>
      <x:c r="H14" s="52" t="str">
        <x:v>Not Started</x:v>
      </x:c>
    </x:row>
    <x:row r="15" ht="55" customHeight="1">
      <x:c r="A15" s="52" t="n">
        <x:v>12</x:v>
      </x:c>
      <x:c r="B15" s="52" t="str">
        <x:v>Week 3</x:v>
      </x:c>
      <x:c r="C15" s="52" t="str">
        <x:v>Confidence and verification</x:v>
      </x:c>
      <x:c r="D15" s="52" t="str">
        <x:v>Factual Confidence of LLMs: On Reliability and Robustness of Current Estimators</x:v>
      </x:c>
      <x:c r="E15" s="52" t="str">
        <x:v>High</x:v>
      </x:c>
      <x:c r="F15" s="52" t="str">
        <x:v>Extract confidence signals, verifier design, and self-correction limitations.</x:v>
      </x:c>
      <x:c r="G15" s="52" t="str">
        <x:v>Confidence measures; calibration; verifier feedback; failure cases.</x:v>
      </x:c>
      <x:c r="H15" s="52" t="str">
        <x:v>Not Started</x:v>
      </x:c>
    </x:row>
    <x:row r="16" ht="55" customHeight="1">
      <x:c r="A16" s="52" t="n">
        <x:v>13</x:v>
      </x:c>
      <x:c r="B16" s="52" t="str">
        <x:v>Week 3</x:v>
      </x:c>
      <x:c r="C16" s="52" t="str">
        <x:v>Datasets and evaluation</x:v>
      </x:c>
      <x:c r="D16" s="52" t="str">
        <x:v>DebugBench: Evaluating Debugging Capability of Large Language Models</x:v>
      </x:c>
      <x:c r="E16" s="52" t="str">
        <x:v>Critical</x:v>
      </x:c>
      <x:c r="F16" s="52" t="str">
        <x:v>Confirm dataset structure, validators, metrics, and licensing/code availability.</x:v>
      </x:c>
      <x:c r="G16" s="52" t="str">
        <x:v>Task format; split sizes; objective metrics; execution/evaluation scripts.</x:v>
      </x:c>
      <x:c r="H16" s="52" t="str">
        <x:v>Not Started</x:v>
      </x:c>
    </x:row>
    <x:row r="17" ht="55" customHeight="1">
      <x:c r="A17" s="52" t="n">
        <x:v>14</x:v>
      </x:c>
      <x:c r="B17" s="52" t="str">
        <x:v>Week 3</x:v>
      </x:c>
      <x:c r="C17" s="52" t="str">
        <x:v>Datasets and evaluation</x:v>
      </x:c>
      <x:c r="D17" s="52" t="str">
        <x:v>FinQA: A Dataset of Numerical Reasoning over Financial Data</x:v>
      </x:c>
      <x:c r="E17" s="52" t="str">
        <x:v>Critical</x:v>
      </x:c>
      <x:c r="F17" s="52" t="str">
        <x:v>Confirm dataset structure, validators, metrics, and licensing/code availability.</x:v>
      </x:c>
      <x:c r="G17" s="52" t="str">
        <x:v>Task format; split sizes; objective metrics; execution/evaluation scripts.</x:v>
      </x:c>
      <x:c r="H17" s="52" t="str">
        <x:v>Not Started</x:v>
      </x:c>
    </x:row>
    <x:row r="18" ht="55" customHeight="1">
      <x:c r="A18" s="52" t="n">
        <x:v>15</x:v>
      </x:c>
      <x:c r="B18" s="52" t="str">
        <x:v>Week 3</x:v>
      </x:c>
      <x:c r="C18" s="52" t="str">
        <x:v>Datasets and evaluation</x:v>
      </x:c>
      <x:c r="D18" s="52" t="str">
        <x:v>TAT-QA: A Question Answering Benchmark on a Hybrid of Tabular and Textual Content in Finance</x:v>
      </x:c>
      <x:c r="E18" s="52" t="str">
        <x:v>Medium</x:v>
      </x:c>
      <x:c r="F18" s="52" t="str">
        <x:v>Confirm dataset structure, validators, metrics, and licensing/code availability.</x:v>
      </x:c>
      <x:c r="G18" s="52" t="str">
        <x:v>Task format; split sizes; objective metrics; execution/evaluation scripts.</x:v>
      </x:c>
      <x:c r="H18" s="52" t="str">
        <x:v>Not Started</x:v>
      </x:c>
    </x:row>
  </x:sheetData>
  <x:mergeCells>
    <x:mergeCell ref="A1:H1"/>
  </x:mergeCells>
  <x:conditionalFormatting sqref="H4:H18">
    <x:cfRule type="expression" dxfId="6" priority="1">
      <x:formula>H4="Completed"</x:formula>
    </x:cfRule>
  </x:conditionalFormatting>
  <x:dataValidations count="1">
    <x:dataValidation type="list" sqref="H4:H18">
      <x:formula1>"Not Started,Skimming,Reading,Completed,Revisit"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231bcfaf75478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8" t="str">
        <x:v>Status</x:v>
      </x:c>
      <x:c r="B1" s="9" t="str">
        <x:v>Priority</x:v>
      </x:c>
      <x:c r="C1" s="9" t="str">
        <x:v>Include in Review</x:v>
      </x:c>
      <x:c r="D1" s="10" t="str">
        <x:v>Rating</x:v>
      </x:c>
    </x:row>
    <x:row r="2">
      <x:c r="A2" s="11" t="str">
        <x:v>Not Started</x:v>
      </x:c>
      <x:c r="B2" s="12" t="str">
        <x:v>Critical</x:v>
      </x:c>
      <x:c r="C2" s="12" t="str">
        <x:v>Yes</x:v>
      </x:c>
      <x:c r="D2" s="13" t="n">
        <x:v>1</x:v>
      </x:c>
    </x:row>
    <x:row r="3">
      <x:c r="A3" s="11" t="str">
        <x:v>Skimming</x:v>
      </x:c>
      <x:c r="B3" s="12" t="str">
        <x:v>High</x:v>
      </x:c>
      <x:c r="C3" s="12" t="str">
        <x:v>Maybe</x:v>
      </x:c>
      <x:c r="D3" s="13" t="n">
        <x:v>2</x:v>
      </x:c>
    </x:row>
    <x:row r="4">
      <x:c r="A4" s="11" t="str">
        <x:v>Reading</x:v>
      </x:c>
      <x:c r="B4" s="12" t="str">
        <x:v>Medium</x:v>
      </x:c>
      <x:c r="C4" s="12" t="str">
        <x:v>No</x:v>
      </x:c>
      <x:c r="D4" s="13" t="n">
        <x:v>3</x:v>
      </x:c>
    </x:row>
    <x:row r="5">
      <x:c r="A5" s="11" t="str">
        <x:v>Completed</x:v>
      </x:c>
      <x:c r="B5" s="12" t="str">
        <x:v>Low</x:v>
      </x:c>
      <x:c r="C5" s="12" t="str"/>
      <x:c r="D5" s="13" t="n">
        <x:v>4</x:v>
      </x:c>
    </x:row>
    <x:row r="6">
      <x:c r="A6" s="14" t="str">
        <x:v>Revisit</x:v>
      </x:c>
      <x:c r="B6" s="15" t="str"/>
      <x:c r="C6" s="15" t="str"/>
      <x:c r="D6" s="16" t="n">
        <x:v>5</x:v>
      </x:c>
    </x:row>
  </x:sheetData>
  <x:pageMargins left="0.7" right="0.7" top="0.75" bottom="0.75" header="0.3" footer="0.3"/>
</x:worksheet>
</file>